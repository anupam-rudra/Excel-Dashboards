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upa\Downloads\"/>
    </mc:Choice>
  </mc:AlternateContent>
  <xr:revisionPtr revIDLastSave="0" documentId="8_{7CEC4B02-999B-4832-8D40-C9BA7C9D28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1" l="1"/>
  <c r="D94" i="1"/>
  <c r="E93" i="1"/>
  <c r="D93" i="1"/>
  <c r="E92" i="1"/>
  <c r="D92" i="1"/>
  <c r="D83" i="1"/>
  <c r="D76" i="1"/>
  <c r="E76" i="1" s="1"/>
  <c r="AD60" i="1"/>
  <c r="AC60" i="1"/>
  <c r="Z60" i="1"/>
  <c r="D91" i="1" s="1"/>
  <c r="E60" i="1"/>
  <c r="D60" i="1"/>
  <c r="C60" i="1"/>
  <c r="AD59" i="1"/>
  <c r="AC59" i="1"/>
  <c r="Z59" i="1"/>
  <c r="D90" i="1" s="1"/>
  <c r="E59" i="1"/>
  <c r="D59" i="1"/>
  <c r="C59" i="1"/>
  <c r="AD58" i="1"/>
  <c r="AC58" i="1"/>
  <c r="Z58" i="1"/>
  <c r="D89" i="1" s="1"/>
  <c r="E58" i="1"/>
  <c r="D58" i="1"/>
  <c r="C58" i="1"/>
  <c r="AD57" i="1"/>
  <c r="AE57" i="1" s="1"/>
  <c r="E88" i="1" s="1"/>
  <c r="AC57" i="1"/>
  <c r="Z57" i="1"/>
  <c r="D88" i="1" s="1"/>
  <c r="E57" i="1"/>
  <c r="D57" i="1"/>
  <c r="C57" i="1"/>
  <c r="AD56" i="1"/>
  <c r="AC56" i="1"/>
  <c r="Z56" i="1"/>
  <c r="D87" i="1" s="1"/>
  <c r="E56" i="1"/>
  <c r="D56" i="1"/>
  <c r="C56" i="1"/>
  <c r="AD55" i="1"/>
  <c r="AE55" i="1" s="1"/>
  <c r="E86" i="1" s="1"/>
  <c r="AC55" i="1"/>
  <c r="Z55" i="1"/>
  <c r="D86" i="1" s="1"/>
  <c r="E55" i="1"/>
  <c r="D55" i="1"/>
  <c r="C55" i="1"/>
  <c r="AD54" i="1"/>
  <c r="AE54" i="1" s="1"/>
  <c r="E85" i="1" s="1"/>
  <c r="AC54" i="1"/>
  <c r="Z54" i="1"/>
  <c r="D85" i="1" s="1"/>
  <c r="E54" i="1"/>
  <c r="D54" i="1"/>
  <c r="C54" i="1"/>
  <c r="AD53" i="1"/>
  <c r="AE59" i="1" s="1"/>
  <c r="E90" i="1" s="1"/>
  <c r="AC53" i="1"/>
  <c r="Z53" i="1"/>
  <c r="D84" i="1" s="1"/>
  <c r="E53" i="1"/>
  <c r="D53" i="1"/>
  <c r="C53" i="1"/>
  <c r="AD52" i="1"/>
  <c r="AE52" i="1" s="1"/>
  <c r="E83" i="1" s="1"/>
  <c r="AC52" i="1"/>
  <c r="Z52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AE37" i="1"/>
  <c r="AC37" i="1"/>
  <c r="W37" i="1"/>
  <c r="U37" i="1"/>
  <c r="S37" i="1"/>
  <c r="N37" i="1"/>
  <c r="L37" i="1"/>
  <c r="J37" i="1"/>
  <c r="AE36" i="1"/>
  <c r="AC36" i="1"/>
  <c r="W36" i="1"/>
  <c r="U36" i="1"/>
  <c r="S36" i="1"/>
  <c r="N36" i="1"/>
  <c r="L36" i="1"/>
  <c r="J36" i="1"/>
  <c r="AE35" i="1"/>
  <c r="AC35" i="1"/>
  <c r="W35" i="1"/>
  <c r="U35" i="1"/>
  <c r="S35" i="1"/>
  <c r="N35" i="1"/>
  <c r="L35" i="1"/>
  <c r="J35" i="1"/>
  <c r="E35" i="1"/>
  <c r="C35" i="1"/>
  <c r="AE34" i="1"/>
  <c r="AC34" i="1"/>
  <c r="W34" i="1"/>
  <c r="U34" i="1"/>
  <c r="S34" i="1"/>
  <c r="N34" i="1"/>
  <c r="L34" i="1"/>
  <c r="J34" i="1"/>
  <c r="E34" i="1"/>
  <c r="C34" i="1"/>
  <c r="AE33" i="1"/>
  <c r="AC33" i="1"/>
  <c r="W33" i="1"/>
  <c r="U33" i="1"/>
  <c r="S33" i="1"/>
  <c r="N33" i="1"/>
  <c r="L33" i="1"/>
  <c r="J33" i="1"/>
  <c r="E33" i="1"/>
  <c r="C33" i="1"/>
  <c r="AE32" i="1"/>
  <c r="AC32" i="1"/>
  <c r="W32" i="1"/>
  <c r="U32" i="1"/>
  <c r="S32" i="1"/>
  <c r="N32" i="1"/>
  <c r="L32" i="1"/>
  <c r="J32" i="1"/>
  <c r="AE31" i="1"/>
  <c r="AC31" i="1"/>
  <c r="W31" i="1"/>
  <c r="U31" i="1"/>
  <c r="S31" i="1"/>
  <c r="N31" i="1"/>
  <c r="L31" i="1"/>
  <c r="J31" i="1"/>
  <c r="AE30" i="1"/>
  <c r="AC30" i="1"/>
  <c r="W30" i="1"/>
  <c r="U30" i="1"/>
  <c r="S30" i="1"/>
  <c r="N30" i="1"/>
  <c r="L30" i="1"/>
  <c r="J30" i="1"/>
  <c r="AE29" i="1"/>
  <c r="AC29" i="1"/>
  <c r="W29" i="1"/>
  <c r="U29" i="1"/>
  <c r="S29" i="1"/>
  <c r="N29" i="1"/>
  <c r="L29" i="1"/>
  <c r="J29" i="1"/>
  <c r="F29" i="1"/>
  <c r="F16" i="1" s="1"/>
  <c r="F21" i="1" s="1"/>
  <c r="E75" i="1" s="1"/>
  <c r="E29" i="1"/>
  <c r="D29" i="1"/>
  <c r="C29" i="1"/>
  <c r="AE28" i="1"/>
  <c r="AC28" i="1"/>
  <c r="W28" i="1"/>
  <c r="U28" i="1"/>
  <c r="S28" i="1"/>
  <c r="N28" i="1"/>
  <c r="L28" i="1"/>
  <c r="J28" i="1"/>
  <c r="E28" i="1"/>
  <c r="C28" i="1"/>
  <c r="AE27" i="1"/>
  <c r="AC27" i="1"/>
  <c r="X27" i="1"/>
  <c r="W27" i="1"/>
  <c r="U27" i="1"/>
  <c r="S27" i="1"/>
  <c r="N27" i="1"/>
  <c r="L27" i="1"/>
  <c r="J27" i="1"/>
  <c r="E27" i="1"/>
  <c r="C27" i="1"/>
  <c r="AE26" i="1"/>
  <c r="AC26" i="1"/>
  <c r="X26" i="1"/>
  <c r="W26" i="1"/>
  <c r="U26" i="1"/>
  <c r="S26" i="1"/>
  <c r="N26" i="1"/>
  <c r="L26" i="1"/>
  <c r="J26" i="1"/>
  <c r="E26" i="1"/>
  <c r="C26" i="1"/>
  <c r="AE25" i="1"/>
  <c r="AC25" i="1"/>
  <c r="X25" i="1"/>
  <c r="W25" i="1"/>
  <c r="U25" i="1"/>
  <c r="S25" i="1"/>
  <c r="N25" i="1"/>
  <c r="L25" i="1"/>
  <c r="J25" i="1"/>
  <c r="AE24" i="1"/>
  <c r="AC24" i="1"/>
  <c r="X24" i="1"/>
  <c r="W24" i="1"/>
  <c r="U24" i="1"/>
  <c r="S24" i="1"/>
  <c r="N24" i="1"/>
  <c r="L24" i="1"/>
  <c r="J24" i="1"/>
  <c r="AE23" i="1"/>
  <c r="AC23" i="1"/>
  <c r="X23" i="1"/>
  <c r="W23" i="1"/>
  <c r="U23" i="1"/>
  <c r="S23" i="1"/>
  <c r="N23" i="1"/>
  <c r="L23" i="1"/>
  <c r="J23" i="1"/>
  <c r="AE22" i="1"/>
  <c r="AC22" i="1"/>
  <c r="X22" i="1"/>
  <c r="W22" i="1"/>
  <c r="U22" i="1"/>
  <c r="S22" i="1"/>
  <c r="N22" i="1"/>
  <c r="L22" i="1"/>
  <c r="J22" i="1"/>
  <c r="AE21" i="1"/>
  <c r="AC21" i="1"/>
  <c r="X21" i="1"/>
  <c r="W21" i="1"/>
  <c r="U21" i="1"/>
  <c r="S21" i="1"/>
  <c r="N21" i="1"/>
  <c r="L21" i="1"/>
  <c r="J21" i="1"/>
  <c r="E21" i="1"/>
  <c r="C21" i="1"/>
  <c r="AE20" i="1"/>
  <c r="AC20" i="1"/>
  <c r="X20" i="1"/>
  <c r="W20" i="1"/>
  <c r="U20" i="1"/>
  <c r="S20" i="1"/>
  <c r="N20" i="1"/>
  <c r="L20" i="1"/>
  <c r="J20" i="1"/>
  <c r="F20" i="1"/>
  <c r="N78" i="1" s="1"/>
  <c r="E20" i="1"/>
  <c r="D20" i="1"/>
  <c r="I78" i="1" s="1"/>
  <c r="C20" i="1"/>
  <c r="B20" i="1"/>
  <c r="AE19" i="1"/>
  <c r="AC19" i="1"/>
  <c r="X19" i="1"/>
  <c r="W19" i="1"/>
  <c r="U19" i="1"/>
  <c r="S19" i="1"/>
  <c r="N19" i="1"/>
  <c r="L19" i="1"/>
  <c r="J19" i="1"/>
  <c r="F19" i="1"/>
  <c r="N77" i="1" s="1"/>
  <c r="E19" i="1"/>
  <c r="D19" i="1"/>
  <c r="I77" i="1" s="1"/>
  <c r="C19" i="1"/>
  <c r="B19" i="1"/>
  <c r="F18" i="1"/>
  <c r="N76" i="1" s="1"/>
  <c r="O76" i="1" s="1"/>
  <c r="E18" i="1"/>
  <c r="D18" i="1"/>
  <c r="I76" i="1" s="1"/>
  <c r="C18" i="1"/>
  <c r="B18" i="1"/>
  <c r="F17" i="1"/>
  <c r="N75" i="1" s="1"/>
  <c r="E17" i="1"/>
  <c r="D17" i="1"/>
  <c r="I75" i="1" s="1"/>
  <c r="C17" i="1"/>
  <c r="B17" i="1"/>
  <c r="E16" i="1"/>
  <c r="D16" i="1"/>
  <c r="C16" i="1"/>
  <c r="B16" i="1"/>
  <c r="E15" i="1"/>
  <c r="D15" i="1"/>
  <c r="D21" i="1" s="1"/>
  <c r="J8" i="1" s="1"/>
  <c r="C15" i="1"/>
  <c r="B15" i="1"/>
  <c r="O75" i="1" l="1"/>
  <c r="O78" i="1"/>
  <c r="O77" i="1"/>
  <c r="AE56" i="1"/>
  <c r="E87" i="1" s="1"/>
  <c r="J76" i="1"/>
  <c r="AE58" i="1"/>
  <c r="E89" i="1" s="1"/>
  <c r="AE53" i="1"/>
  <c r="E84" i="1" s="1"/>
  <c r="AE60" i="1"/>
  <c r="E91" i="1" s="1"/>
  <c r="J77" i="1"/>
  <c r="J75" i="1"/>
  <c r="J78" i="1"/>
</calcChain>
</file>

<file path=xl/sharedStrings.xml><?xml version="1.0" encoding="utf-8"?>
<sst xmlns="http://schemas.openxmlformats.org/spreadsheetml/2006/main" count="179" uniqueCount="82">
  <si>
    <t>JANUARY</t>
  </si>
  <si>
    <t>Select Chart</t>
  </si>
  <si>
    <t>LEFT TO BUDGET</t>
  </si>
  <si>
    <t>BUDGET DASHBOARD</t>
  </si>
  <si>
    <t>OVERVIEW</t>
  </si>
  <si>
    <t>Start Date</t>
  </si>
  <si>
    <t>End Date</t>
  </si>
  <si>
    <t>1/31/2026</t>
  </si>
  <si>
    <t>Change Currency</t>
  </si>
  <si>
    <t>$</t>
  </si>
  <si>
    <t>Start Balance</t>
  </si>
  <si>
    <t>CASH FLOW</t>
  </si>
  <si>
    <t>BUDGET</t>
  </si>
  <si>
    <t>ACTUAL</t>
  </si>
  <si>
    <t>BILLS</t>
  </si>
  <si>
    <t>EXPENSES</t>
  </si>
  <si>
    <t>DEBT</t>
  </si>
  <si>
    <t>CATRGORY</t>
  </si>
  <si>
    <t>DUE</t>
  </si>
  <si>
    <t>CATEGORY</t>
  </si>
  <si>
    <t>LEFT</t>
  </si>
  <si>
    <t>BUGDET</t>
  </si>
  <si>
    <t>Rent</t>
  </si>
  <si>
    <t>Netflix</t>
  </si>
  <si>
    <t>Emergencies</t>
  </si>
  <si>
    <t>Phone</t>
  </si>
  <si>
    <t>Spotify</t>
  </si>
  <si>
    <t>Credit Card #1</t>
  </si>
  <si>
    <t>Internet</t>
  </si>
  <si>
    <t>Coffee</t>
  </si>
  <si>
    <t>Credit Card #2</t>
  </si>
  <si>
    <t>Gym</t>
  </si>
  <si>
    <t>Drinks</t>
  </si>
  <si>
    <t>Credit Card #3</t>
  </si>
  <si>
    <t>Fuel</t>
  </si>
  <si>
    <t>Eating out</t>
  </si>
  <si>
    <t>Credit Card #4</t>
  </si>
  <si>
    <t>INCOME</t>
  </si>
  <si>
    <t>Groceries</t>
  </si>
  <si>
    <t>Gifts</t>
  </si>
  <si>
    <t>Vacation</t>
  </si>
  <si>
    <t>Health</t>
  </si>
  <si>
    <t>Entertainment</t>
  </si>
  <si>
    <t>Wedding</t>
  </si>
  <si>
    <t>Paycheck 1</t>
  </si>
  <si>
    <t>Maintenance</t>
  </si>
  <si>
    <t>Clothes</t>
  </si>
  <si>
    <t>Renovation</t>
  </si>
  <si>
    <t>Paycheck 2</t>
  </si>
  <si>
    <t>Bank Fees</t>
  </si>
  <si>
    <t>Beauty</t>
  </si>
  <si>
    <t>Other</t>
  </si>
  <si>
    <t>Transport</t>
  </si>
  <si>
    <t>Total</t>
  </si>
  <si>
    <t>Car</t>
  </si>
  <si>
    <t>SAVINGS</t>
  </si>
  <si>
    <t>Emergency Fund</t>
  </si>
  <si>
    <t>Investments</t>
  </si>
  <si>
    <t>Bank Balance</t>
  </si>
  <si>
    <t>EXPENSE TRACKER</t>
  </si>
  <si>
    <t>DATE</t>
  </si>
  <si>
    <t>AMOUNT</t>
  </si>
  <si>
    <t>NOTES</t>
  </si>
  <si>
    <t>SPENDING BREAKDOWN</t>
  </si>
  <si>
    <t>%</t>
  </si>
  <si>
    <t>For Chart 1</t>
  </si>
  <si>
    <t>LEFT TO SPEND</t>
  </si>
  <si>
    <t>For Chart 2</t>
  </si>
  <si>
    <t>For Chart 3</t>
  </si>
  <si>
    <t>FOR CURRENCY</t>
  </si>
  <si>
    <t>Budget</t>
  </si>
  <si>
    <t>Actual</t>
  </si>
  <si>
    <t>BREAKDOWN</t>
  </si>
  <si>
    <t>₹</t>
  </si>
  <si>
    <t>Bill</t>
  </si>
  <si>
    <t>Expense</t>
  </si>
  <si>
    <t>€</t>
  </si>
  <si>
    <t>Debt</t>
  </si>
  <si>
    <t>£</t>
  </si>
  <si>
    <t>Savings</t>
  </si>
  <si>
    <t>For Chart 4</t>
  </si>
  <si>
    <t>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</si>
</sst>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[$£]#,##0.00"/>
  </numFmts>
  <fonts count="10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sz val="12"/>
      <color rgb="FF198639"/>
      <name val="Monospace"/>
    </font>
    <font>
      <sz val="10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rgb="FF434343"/>
      <name val="Arial"/>
    </font>
  </fonts>
  <fills count="21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E7B6C2"/>
        <bgColor rgb="FFE7B6C2"/>
      </patternFill>
    </fill>
    <fill>
      <patternFill patternType="solid">
        <fgColor rgb="FFBDBDBD"/>
        <bgColor rgb="FFBDBDBD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434343"/>
        <bgColor rgb="FF434343"/>
      </patternFill>
    </fill>
  </fills>
  <borders count="3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left"/>
    </xf>
    <xf numFmtId="0" fontId="1" fillId="5" borderId="4" xfId="0" applyFont="1" applyFill="1" applyBorder="1" applyAlignment="1">
      <alignment horizontal="left"/>
    </xf>
    <xf numFmtId="164" fontId="1" fillId="0" borderId="4" xfId="0" applyNumberFormat="1" applyFont="1" applyBorder="1" applyAlignment="1">
      <alignment horizontal="center"/>
    </xf>
    <xf numFmtId="0" fontId="1" fillId="5" borderId="5" xfId="0" applyFont="1" applyFill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left"/>
    </xf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4" fontId="1" fillId="7" borderId="10" xfId="0" applyNumberFormat="1" applyFont="1" applyFill="1" applyBorder="1" applyAlignment="1">
      <alignment horizontal="center"/>
    </xf>
    <xf numFmtId="4" fontId="1" fillId="7" borderId="11" xfId="0" applyNumberFormat="1" applyFont="1" applyFill="1" applyBorder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3" fillId="11" borderId="12" xfId="0" applyFont="1" applyFill="1" applyBorder="1" applyAlignment="1">
      <alignment horizontal="center"/>
    </xf>
    <xf numFmtId="0" fontId="3" fillId="11" borderId="1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/>
    </xf>
    <xf numFmtId="0" fontId="3" fillId="5" borderId="16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3" fillId="6" borderId="2" xfId="0" applyFont="1" applyFill="1" applyBorder="1" applyAlignment="1">
      <alignment horizontal="left"/>
    </xf>
    <xf numFmtId="0" fontId="3" fillId="6" borderId="16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6" fillId="0" borderId="4" xfId="0" applyFont="1" applyBorder="1"/>
    <xf numFmtId="0" fontId="1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11" borderId="4" xfId="0" applyNumberFormat="1" applyFont="1" applyFill="1" applyBorder="1" applyAlignment="1">
      <alignment horizontal="left"/>
    </xf>
    <xf numFmtId="0" fontId="1" fillId="5" borderId="4" xfId="0" applyFont="1" applyFill="1" applyBorder="1" applyAlignment="1">
      <alignment horizontal="center"/>
    </xf>
    <xf numFmtId="0" fontId="6" fillId="0" borderId="17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4" fontId="7" fillId="0" borderId="18" xfId="0" applyNumberFormat="1" applyFont="1" applyBorder="1" applyAlignment="1">
      <alignment horizontal="left"/>
    </xf>
    <xf numFmtId="0" fontId="1" fillId="5" borderId="17" xfId="0" applyFont="1" applyFill="1" applyBorder="1" applyAlignment="1">
      <alignment horizontal="center"/>
    </xf>
    <xf numFmtId="4" fontId="7" fillId="5" borderId="19" xfId="0" applyNumberFormat="1" applyFont="1" applyFill="1" applyBorder="1" applyAlignment="1">
      <alignment horizontal="left"/>
    </xf>
    <xf numFmtId="0" fontId="1" fillId="7" borderId="4" xfId="0" applyFont="1" applyFill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4" fontId="6" fillId="0" borderId="0" xfId="0" applyNumberFormat="1" applyFont="1" applyAlignment="1">
      <alignment horizontal="left"/>
    </xf>
    <xf numFmtId="0" fontId="1" fillId="7" borderId="17" xfId="0" applyFont="1" applyFill="1" applyBorder="1" applyAlignment="1">
      <alignment horizontal="center"/>
    </xf>
    <xf numFmtId="4" fontId="6" fillId="7" borderId="1" xfId="0" applyNumberFormat="1" applyFont="1" applyFill="1" applyBorder="1" applyAlignment="1">
      <alignment horizontal="left"/>
    </xf>
    <xf numFmtId="0" fontId="1" fillId="11" borderId="5" xfId="0" applyFont="1" applyFill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4" fontId="6" fillId="0" borderId="5" xfId="0" applyNumberFormat="1" applyFont="1" applyBorder="1" applyAlignment="1">
      <alignment horizontal="left"/>
    </xf>
    <xf numFmtId="4" fontId="6" fillId="11" borderId="5" xfId="0" applyNumberFormat="1" applyFont="1" applyFill="1" applyBorder="1" applyAlignment="1">
      <alignment horizontal="left"/>
    </xf>
    <xf numFmtId="0" fontId="1" fillId="5" borderId="5" xfId="0" applyFont="1" applyFill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4" fontId="7" fillId="0" borderId="10" xfId="0" applyNumberFormat="1" applyFont="1" applyBorder="1" applyAlignment="1">
      <alignment horizontal="left"/>
    </xf>
    <xf numFmtId="0" fontId="1" fillId="5" borderId="9" xfId="0" applyFont="1" applyFill="1" applyBorder="1" applyAlignment="1">
      <alignment horizontal="center"/>
    </xf>
    <xf numFmtId="4" fontId="7" fillId="5" borderId="11" xfId="0" applyNumberFormat="1" applyFont="1" applyFill="1" applyBorder="1" applyAlignment="1">
      <alignment horizontal="left"/>
    </xf>
    <xf numFmtId="0" fontId="1" fillId="7" borderId="5" xfId="0" applyFont="1" applyFill="1" applyBorder="1" applyAlignment="1">
      <alignment horizontal="center"/>
    </xf>
    <xf numFmtId="0" fontId="1" fillId="0" borderId="11" xfId="0" applyFont="1" applyBorder="1" applyAlignment="1">
      <alignment horizontal="left"/>
    </xf>
    <xf numFmtId="4" fontId="6" fillId="0" borderId="10" xfId="0" applyNumberFormat="1" applyFont="1" applyBorder="1" applyAlignment="1">
      <alignment horizontal="left"/>
    </xf>
    <xf numFmtId="4" fontId="6" fillId="7" borderId="11" xfId="0" applyNumberFormat="1" applyFont="1" applyFill="1" applyBorder="1" applyAlignment="1">
      <alignment horizontal="left"/>
    </xf>
    <xf numFmtId="0" fontId="1" fillId="0" borderId="0" xfId="0" applyFont="1"/>
    <xf numFmtId="0" fontId="3" fillId="13" borderId="2" xfId="0" applyFont="1" applyFill="1" applyBorder="1" applyAlignment="1">
      <alignment horizontal="left"/>
    </xf>
    <xf numFmtId="0" fontId="1" fillId="5" borderId="20" xfId="0" applyFont="1" applyFill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1" fillId="0" borderId="21" xfId="0" applyFont="1" applyBorder="1" applyAlignment="1">
      <alignment horizontal="left"/>
    </xf>
    <xf numFmtId="4" fontId="6" fillId="0" borderId="22" xfId="0" applyNumberFormat="1" applyFont="1" applyBorder="1" applyAlignment="1">
      <alignment horizontal="left"/>
    </xf>
    <xf numFmtId="4" fontId="6" fillId="7" borderId="21" xfId="0" applyNumberFormat="1" applyFont="1" applyFill="1" applyBorder="1" applyAlignment="1">
      <alignment horizontal="left"/>
    </xf>
    <xf numFmtId="0" fontId="1" fillId="13" borderId="17" xfId="0" applyFont="1" applyFill="1" applyBorder="1" applyAlignment="1">
      <alignment horizontal="left"/>
    </xf>
    <xf numFmtId="0" fontId="1" fillId="13" borderId="17" xfId="0" applyFont="1" applyFill="1" applyBorder="1" applyAlignment="1">
      <alignment horizontal="center"/>
    </xf>
    <xf numFmtId="0" fontId="1" fillId="13" borderId="18" xfId="0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13" borderId="9" xfId="0" applyFont="1" applyFill="1" applyBorder="1" applyAlignment="1">
      <alignment horizontal="left"/>
    </xf>
    <xf numFmtId="0" fontId="1" fillId="13" borderId="9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/>
    </xf>
    <xf numFmtId="0" fontId="1" fillId="13" borderId="1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7" borderId="11" xfId="0" applyFont="1" applyFill="1" applyBorder="1" applyAlignment="1">
      <alignment horizontal="left"/>
    </xf>
    <xf numFmtId="4" fontId="7" fillId="0" borderId="10" xfId="0" applyNumberFormat="1" applyFont="1" applyBorder="1" applyAlignment="1">
      <alignment horizontal="center"/>
    </xf>
    <xf numFmtId="4" fontId="7" fillId="5" borderId="11" xfId="0" applyNumberFormat="1" applyFont="1" applyFill="1" applyBorder="1" applyAlignment="1">
      <alignment horizontal="center"/>
    </xf>
    <xf numFmtId="0" fontId="8" fillId="0" borderId="5" xfId="0" applyFont="1" applyBorder="1"/>
    <xf numFmtId="0" fontId="6" fillId="0" borderId="9" xfId="0" applyFont="1" applyBorder="1" applyAlignment="1">
      <alignment horizontal="center"/>
    </xf>
    <xf numFmtId="0" fontId="3" fillId="15" borderId="2" xfId="0" applyFont="1" applyFill="1" applyBorder="1" applyAlignment="1">
      <alignment horizontal="left"/>
    </xf>
    <xf numFmtId="0" fontId="1" fillId="10" borderId="0" xfId="0" applyFont="1" applyFill="1" applyAlignment="1">
      <alignment horizontal="center"/>
    </xf>
    <xf numFmtId="0" fontId="1" fillId="15" borderId="4" xfId="0" applyFont="1" applyFill="1" applyBorder="1" applyAlignment="1">
      <alignment horizontal="left"/>
    </xf>
    <xf numFmtId="0" fontId="1" fillId="15" borderId="18" xfId="0" applyFont="1" applyFill="1" applyBorder="1" applyAlignment="1">
      <alignment horizontal="center"/>
    </xf>
    <xf numFmtId="4" fontId="1" fillId="15" borderId="18" xfId="0" applyNumberFormat="1" applyFont="1" applyFill="1" applyBorder="1" applyAlignment="1">
      <alignment horizontal="center"/>
    </xf>
    <xf numFmtId="0" fontId="1" fillId="15" borderId="17" xfId="0" applyFont="1" applyFill="1" applyBorder="1" applyAlignment="1">
      <alignment horizontal="center"/>
    </xf>
    <xf numFmtId="4" fontId="1" fillId="15" borderId="19" xfId="0" applyNumberFormat="1" applyFont="1" applyFill="1" applyBorder="1" applyAlignment="1">
      <alignment horizontal="center"/>
    </xf>
    <xf numFmtId="0" fontId="1" fillId="15" borderId="5" xfId="0" applyFont="1" applyFill="1" applyBorder="1" applyAlignment="1">
      <alignment horizontal="left"/>
    </xf>
    <xf numFmtId="0" fontId="1" fillId="15" borderId="10" xfId="0" applyFont="1" applyFill="1" applyBorder="1" applyAlignment="1">
      <alignment horizontal="center"/>
    </xf>
    <xf numFmtId="4" fontId="1" fillId="15" borderId="10" xfId="0" applyNumberFormat="1" applyFont="1" applyFill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4" fontId="1" fillId="15" borderId="11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11" borderId="20" xfId="0" applyFont="1" applyFill="1" applyBorder="1" applyAlignment="1">
      <alignment horizontal="center"/>
    </xf>
    <xf numFmtId="0" fontId="8" fillId="0" borderId="20" xfId="0" applyFont="1" applyBorder="1"/>
    <xf numFmtId="0" fontId="1" fillId="0" borderId="2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4" fontId="7" fillId="0" borderId="22" xfId="0" applyNumberFormat="1" applyFont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4" fontId="7" fillId="5" borderId="21" xfId="0" applyNumberFormat="1" applyFont="1" applyFill="1" applyBorder="1" applyAlignment="1">
      <alignment horizontal="center"/>
    </xf>
    <xf numFmtId="0" fontId="3" fillId="17" borderId="2" xfId="0" applyFont="1" applyFill="1" applyBorder="1" applyAlignment="1">
      <alignment horizontal="left"/>
    </xf>
    <xf numFmtId="0" fontId="3" fillId="17" borderId="16" xfId="0" applyFont="1" applyFill="1" applyBorder="1" applyAlignment="1">
      <alignment horizontal="left"/>
    </xf>
    <xf numFmtId="164" fontId="1" fillId="18" borderId="4" xfId="0" applyNumberFormat="1" applyFont="1" applyFill="1" applyBorder="1" applyAlignment="1">
      <alignment horizontal="left"/>
    </xf>
    <xf numFmtId="0" fontId="1" fillId="18" borderId="18" xfId="0" applyFont="1" applyFill="1" applyBorder="1" applyAlignment="1">
      <alignment horizontal="center"/>
    </xf>
    <xf numFmtId="4" fontId="1" fillId="18" borderId="19" xfId="0" applyNumberFormat="1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18" borderId="5" xfId="0" applyNumberFormat="1" applyFont="1" applyFill="1" applyBorder="1" applyAlignment="1">
      <alignment horizontal="left"/>
    </xf>
    <xf numFmtId="0" fontId="1" fillId="18" borderId="10" xfId="0" applyFont="1" applyFill="1" applyBorder="1" applyAlignment="1">
      <alignment horizontal="center"/>
    </xf>
    <xf numFmtId="4" fontId="1" fillId="18" borderId="11" xfId="0" applyNumberFormat="1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4" fontId="1" fillId="11" borderId="19" xfId="0" applyNumberFormat="1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18" borderId="11" xfId="0" applyFont="1" applyFill="1" applyBorder="1" applyAlignment="1">
      <alignment horizontal="center"/>
    </xf>
    <xf numFmtId="164" fontId="1" fillId="18" borderId="20" xfId="0" applyNumberFormat="1" applyFont="1" applyFill="1" applyBorder="1" applyAlignment="1">
      <alignment horizontal="left"/>
    </xf>
    <xf numFmtId="0" fontId="1" fillId="18" borderId="22" xfId="0" applyFont="1" applyFill="1" applyBorder="1" applyAlignment="1">
      <alignment horizontal="center"/>
    </xf>
    <xf numFmtId="0" fontId="9" fillId="20" borderId="0" xfId="0" applyFont="1" applyFill="1"/>
    <xf numFmtId="0" fontId="9" fillId="20" borderId="25" xfId="0" applyFont="1" applyFill="1" applyBorder="1"/>
    <xf numFmtId="0" fontId="9" fillId="20" borderId="26" xfId="0" applyFont="1" applyFill="1" applyBorder="1"/>
    <xf numFmtId="0" fontId="9" fillId="20" borderId="27" xfId="0" applyFont="1" applyFill="1" applyBorder="1"/>
    <xf numFmtId="0" fontId="9" fillId="20" borderId="27" xfId="0" applyFont="1" applyFill="1" applyBorder="1" applyAlignment="1">
      <alignment horizontal="center"/>
    </xf>
    <xf numFmtId="0" fontId="9" fillId="20" borderId="28" xfId="0" applyFont="1" applyFill="1" applyBorder="1" applyAlignment="1">
      <alignment horizontal="center"/>
    </xf>
    <xf numFmtId="0" fontId="3" fillId="5" borderId="29" xfId="0" applyFont="1" applyFill="1" applyBorder="1" applyAlignment="1">
      <alignment horizontal="center"/>
    </xf>
    <xf numFmtId="4" fontId="1" fillId="0" borderId="0" xfId="0" applyNumberFormat="1" applyFont="1" applyAlignment="1">
      <alignment horizontal="center"/>
    </xf>
    <xf numFmtId="4" fontId="1" fillId="0" borderId="5" xfId="0" applyNumberFormat="1" applyFont="1" applyBorder="1" applyAlignment="1">
      <alignment horizontal="center"/>
    </xf>
    <xf numFmtId="10" fontId="8" fillId="0" borderId="5" xfId="0" applyNumberFormat="1" applyFont="1" applyBorder="1"/>
    <xf numFmtId="165" fontId="1" fillId="0" borderId="0" xfId="0" applyNumberFormat="1" applyFont="1" applyAlignment="1">
      <alignment horizontal="center"/>
    </xf>
    <xf numFmtId="10" fontId="1" fillId="0" borderId="5" xfId="0" applyNumberFormat="1" applyFont="1" applyBorder="1" applyAlignment="1">
      <alignment horizontal="center"/>
    </xf>
    <xf numFmtId="4" fontId="1" fillId="18" borderId="10" xfId="0" applyNumberFormat="1" applyFont="1" applyFill="1" applyBorder="1" applyAlignment="1">
      <alignment horizontal="center"/>
    </xf>
    <xf numFmtId="0" fontId="5" fillId="0" borderId="11" xfId="0" applyFont="1" applyBorder="1"/>
    <xf numFmtId="0" fontId="1" fillId="0" borderId="9" xfId="0" applyFont="1" applyBorder="1" applyAlignment="1">
      <alignment horizontal="center"/>
    </xf>
    <xf numFmtId="0" fontId="5" fillId="0" borderId="10" xfId="0" applyFont="1" applyBorder="1"/>
    <xf numFmtId="0" fontId="1" fillId="0" borderId="0" xfId="0" applyFont="1" applyAlignment="1">
      <alignment horizontal="center"/>
    </xf>
    <xf numFmtId="0" fontId="0" fillId="0" borderId="0" xfId="0"/>
    <xf numFmtId="4" fontId="1" fillId="0" borderId="9" xfId="0" applyNumberFormat="1" applyFont="1" applyBorder="1" applyAlignment="1">
      <alignment horizontal="center"/>
    </xf>
    <xf numFmtId="0" fontId="1" fillId="18" borderId="9" xfId="0" applyFont="1" applyFill="1" applyBorder="1" applyAlignment="1">
      <alignment horizontal="center"/>
    </xf>
    <xf numFmtId="0" fontId="3" fillId="19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3" fillId="19" borderId="2" xfId="0" applyFont="1" applyFill="1" applyBorder="1" applyAlignment="1">
      <alignment horizontal="left"/>
    </xf>
    <xf numFmtId="0" fontId="5" fillId="0" borderId="16" xfId="0" applyFont="1" applyBorder="1"/>
    <xf numFmtId="0" fontId="3" fillId="19" borderId="16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left"/>
    </xf>
    <xf numFmtId="0" fontId="5" fillId="0" borderId="18" xfId="0" applyFont="1" applyBorder="1"/>
    <xf numFmtId="10" fontId="1" fillId="11" borderId="17" xfId="0" applyNumberFormat="1" applyFont="1" applyFill="1" applyBorder="1" applyAlignment="1">
      <alignment horizontal="center" vertical="center"/>
    </xf>
    <xf numFmtId="0" fontId="5" fillId="0" borderId="19" xfId="0" applyFont="1" applyBorder="1"/>
    <xf numFmtId="0" fontId="3" fillId="4" borderId="9" xfId="0" applyFont="1" applyFill="1" applyBorder="1" applyAlignment="1">
      <alignment horizontal="center" vertical="center"/>
    </xf>
    <xf numFmtId="0" fontId="5" fillId="9" borderId="10" xfId="0" applyFont="1" applyFill="1" applyBorder="1"/>
    <xf numFmtId="0" fontId="3" fillId="5" borderId="29" xfId="0" applyFont="1" applyFill="1" applyBorder="1" applyAlignment="1">
      <alignment horizontal="center"/>
    </xf>
    <xf numFmtId="0" fontId="5" fillId="3" borderId="29" xfId="0" applyFont="1" applyFill="1" applyBorder="1"/>
    <xf numFmtId="4" fontId="3" fillId="5" borderId="29" xfId="0" applyNumberFormat="1" applyFont="1" applyFill="1" applyBorder="1" applyAlignment="1">
      <alignment horizontal="center"/>
    </xf>
    <xf numFmtId="0" fontId="5" fillId="3" borderId="30" xfId="0" applyFont="1" applyFill="1" applyBorder="1"/>
    <xf numFmtId="0" fontId="5" fillId="0" borderId="3" xfId="0" applyFont="1" applyBorder="1"/>
    <xf numFmtId="0" fontId="3" fillId="5" borderId="16" xfId="0" applyFont="1" applyFill="1" applyBorder="1" applyAlignment="1">
      <alignment horizontal="center"/>
    </xf>
    <xf numFmtId="0" fontId="5" fillId="3" borderId="16" xfId="0" applyFont="1" applyFill="1" applyBorder="1"/>
    <xf numFmtId="4" fontId="3" fillId="5" borderId="16" xfId="0" applyNumberFormat="1" applyFont="1" applyFill="1" applyBorder="1" applyAlignment="1">
      <alignment horizontal="center"/>
    </xf>
    <xf numFmtId="0" fontId="5" fillId="3" borderId="3" xfId="0" applyFont="1" applyFill="1" applyBorder="1"/>
    <xf numFmtId="0" fontId="3" fillId="6" borderId="16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5" fillId="9" borderId="7" xfId="0" applyFont="1" applyFill="1" applyBorder="1"/>
    <xf numFmtId="0" fontId="5" fillId="9" borderId="8" xfId="0" applyFont="1" applyFill="1" applyBorder="1"/>
    <xf numFmtId="0" fontId="3" fillId="6" borderId="6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/>
    </xf>
    <xf numFmtId="0" fontId="5" fillId="0" borderId="15" xfId="0" applyFont="1" applyBorder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13" borderId="16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15" borderId="16" xfId="0" applyFont="1" applyFill="1" applyBorder="1" applyAlignment="1">
      <alignment horizontal="center"/>
    </xf>
    <xf numFmtId="0" fontId="3" fillId="16" borderId="6" xfId="0" applyFont="1" applyFill="1" applyBorder="1" applyAlignment="1">
      <alignment horizontal="center"/>
    </xf>
    <xf numFmtId="0" fontId="3" fillId="17" borderId="16" xfId="0" applyFont="1" applyFill="1" applyBorder="1" applyAlignment="1">
      <alignment horizontal="center"/>
    </xf>
    <xf numFmtId="0" fontId="1" fillId="18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lang="en-IN" b="1" i="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Budget</c:v>
          </c:tx>
          <c:spPr>
            <a:solidFill>
              <a:srgbClr val="CCCCC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Sheet1!$H$75:$H$78</c:f>
              <c:strCache>
                <c:ptCount val="4"/>
                <c:pt idx="0">
                  <c:v>Bill</c:v>
                </c:pt>
                <c:pt idx="1">
                  <c:v>Expense</c:v>
                </c:pt>
                <c:pt idx="2">
                  <c:v>Debt</c:v>
                </c:pt>
                <c:pt idx="3">
                  <c:v>Savings</c:v>
                </c:pt>
              </c:strCache>
            </c:strRef>
          </c:cat>
          <c:val>
            <c:numRef>
              <c:f>Sheet1!$I$75:$I$78</c:f>
              <c:numCache>
                <c:formatCode>#,##0.00</c:formatCode>
                <c:ptCount val="4"/>
                <c:pt idx="0">
                  <c:v>1767</c:v>
                </c:pt>
                <c:pt idx="1">
                  <c:v>919</c:v>
                </c:pt>
                <c:pt idx="2">
                  <c:v>740</c:v>
                </c:pt>
                <c:pt idx="3">
                  <c:v>1800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EF-4FBC-BB53-25960D8B6A05}"/>
            </c:ext>
          </c:extLst>
        </c:ser>
        <c:ser>
          <c:idx val="1"/>
          <c:order val="1"/>
          <c:tx>
            <c:v>Actual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Sheet1!$H$75:$H$78</c:f>
              <c:strCache>
                <c:ptCount val="4"/>
                <c:pt idx="0">
                  <c:v>Bill</c:v>
                </c:pt>
                <c:pt idx="1">
                  <c:v>Expense</c:v>
                </c:pt>
                <c:pt idx="2">
                  <c:v>Debt</c:v>
                </c:pt>
                <c:pt idx="3">
                  <c:v>Savings</c:v>
                </c:pt>
              </c:strCache>
            </c:strRef>
          </c:cat>
          <c:val>
            <c:numRef>
              <c:f>Sheet1!$J$75:$J$78</c:f>
              <c:numCache>
                <c:formatCode>#,##0.00</c:formatCode>
                <c:ptCount val="4"/>
                <c:pt idx="0">
                  <c:v>1465</c:v>
                </c:pt>
                <c:pt idx="1">
                  <c:v>527</c:v>
                </c:pt>
                <c:pt idx="2">
                  <c:v>560</c:v>
                </c:pt>
                <c:pt idx="3">
                  <c:v>850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BEF-4FBC-BB53-25960D8B6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3865386"/>
        <c:axId val="1994211213"/>
      </c:barChart>
      <c:catAx>
        <c:axId val="13538653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4211213"/>
        <c:crosses val="autoZero"/>
        <c:auto val="1"/>
        <c:lblAlgn val="ctr"/>
        <c:lblOffset val="100"/>
        <c:noMultiLvlLbl val="1"/>
      </c:catAx>
      <c:valAx>
        <c:axId val="199421121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386538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IN" b="1">
                <a:solidFill>
                  <a:srgbClr val="000000"/>
                </a:solidFill>
                <a:latin typeface="+mn-lt"/>
              </a:rPr>
              <a:t>SPENDING CHART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Sheet1!$E$82</c:f>
              <c:strCache>
                <c:ptCount val="1"/>
                <c:pt idx="0">
                  <c:v>SPENDING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F10C-472C-82B7-40EBBC52F5E5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F10C-472C-82B7-40EBBC52F5E5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F10C-472C-82B7-40EBBC52F5E5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F10C-472C-82B7-40EBBC52F5E5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F10C-472C-82B7-40EBBC52F5E5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F10C-472C-82B7-40EBBC52F5E5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F10C-472C-82B7-40EBBC52F5E5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F10C-472C-82B7-40EBBC52F5E5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F10C-472C-82B7-40EBBC52F5E5}"/>
              </c:ext>
            </c:extLst>
          </c:dPt>
          <c:cat>
            <c:strRef>
              <c:f>Sheet1!$D$83:$D$91</c:f>
              <c:strCache>
                <c:ptCount val="9"/>
                <c:pt idx="0">
                  <c:v>Entertainment</c:v>
                </c:pt>
                <c:pt idx="1">
                  <c:v>Eating out</c:v>
                </c:pt>
                <c:pt idx="2">
                  <c:v>Beauty</c:v>
                </c:pt>
                <c:pt idx="3">
                  <c:v>Drinks</c:v>
                </c:pt>
                <c:pt idx="4">
                  <c:v>Gifts</c:v>
                </c:pt>
                <c:pt idx="5">
                  <c:v>Clothes</c:v>
                </c:pt>
                <c:pt idx="6">
                  <c:v>Coffee</c:v>
                </c:pt>
                <c:pt idx="7">
                  <c:v>Netflix</c:v>
                </c:pt>
                <c:pt idx="8">
                  <c:v>Spotify</c:v>
                </c:pt>
              </c:strCache>
            </c:strRef>
          </c:cat>
          <c:val>
            <c:numRef>
              <c:f>Sheet1!$E$83:$E$91</c:f>
              <c:numCache>
                <c:formatCode>0.00%</c:formatCode>
                <c:ptCount val="9"/>
                <c:pt idx="0">
                  <c:v>0.28462998102466791</c:v>
                </c:pt>
                <c:pt idx="1">
                  <c:v>0.18975332068311196</c:v>
                </c:pt>
                <c:pt idx="2">
                  <c:v>0.14231499051233396</c:v>
                </c:pt>
                <c:pt idx="3">
                  <c:v>0.11385199240986717</c:v>
                </c:pt>
                <c:pt idx="4">
                  <c:v>9.4876660341555979E-2</c:v>
                </c:pt>
                <c:pt idx="5">
                  <c:v>7.5901328273244778E-2</c:v>
                </c:pt>
                <c:pt idx="6">
                  <c:v>5.6925996204933584E-2</c:v>
                </c:pt>
                <c:pt idx="7">
                  <c:v>2.2770398481973434E-2</c:v>
                </c:pt>
                <c:pt idx="8">
                  <c:v>1.8975332068311195E-2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10C-472C-82B7-40EBBC52F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IN" b="1">
                <a:solidFill>
                  <a:srgbClr val="000000"/>
                </a:solidFill>
                <a:latin typeface="+mn-lt"/>
              </a:rPr>
              <a:t>BREAKDOWN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Sheet1!$O$73:$O$74</c:f>
              <c:strCache>
                <c:ptCount val="2"/>
                <c:pt idx="0">
                  <c:v>For Chart 3</c:v>
                </c:pt>
                <c:pt idx="1">
                  <c:v>BREAKDOWN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26FE-445F-ADE4-8612B04B1406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26FE-445F-ADE4-8612B04B1406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26FE-445F-ADE4-8612B04B1406}"/>
              </c:ext>
            </c:extLst>
          </c:dPt>
          <c:cat>
            <c:strRef>
              <c:f>Sheet1!$M$75:$M$77</c:f>
              <c:strCache>
                <c:ptCount val="3"/>
                <c:pt idx="0">
                  <c:v>Bill</c:v>
                </c:pt>
                <c:pt idx="1">
                  <c:v>Expense</c:v>
                </c:pt>
                <c:pt idx="2">
                  <c:v>Debt</c:v>
                </c:pt>
              </c:strCache>
            </c:strRef>
          </c:cat>
          <c:val>
            <c:numRef>
              <c:f>Sheet1!$O$75:$O$77</c:f>
              <c:numCache>
                <c:formatCode>0.00%</c:formatCode>
                <c:ptCount val="3"/>
                <c:pt idx="0">
                  <c:v>0.43062904174015287</c:v>
                </c:pt>
                <c:pt idx="1">
                  <c:v>0.15490887713109935</c:v>
                </c:pt>
                <c:pt idx="2">
                  <c:v>0.16460905349794239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FE-445F-ADE4-8612B04B1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9525</xdr:colOff>
      <xdr:row>0</xdr:row>
      <xdr:rowOff>104775</xdr:rowOff>
    </xdr:from>
    <xdr:ext cx="4076700" cy="29241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25</xdr:col>
      <xdr:colOff>28575</xdr:colOff>
      <xdr:row>37</xdr:row>
      <xdr:rowOff>28575</xdr:rowOff>
    </xdr:from>
    <xdr:ext cx="3895725" cy="22955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24</xdr:col>
      <xdr:colOff>942975</xdr:colOff>
      <xdr:row>0</xdr:row>
      <xdr:rowOff>95250</xdr:rowOff>
    </xdr:from>
    <xdr:ext cx="3638550" cy="29241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9525</xdr:colOff>
      <xdr:row>1</xdr:row>
      <xdr:rowOff>190500</xdr:rowOff>
    </xdr:from>
    <xdr:ext cx="5943600" cy="2686050"/>
    <xdr:pic>
      <xdr:nvPicPr>
        <xdr:cNvPr id="347181646" name="Chart4" title="Chart">
          <a:extLst>
            <a:ext uri="{FF2B5EF4-FFF2-40B4-BE49-F238E27FC236}">
              <a16:creationId xmlns:a16="http://schemas.microsoft.com/office/drawing/2014/main" id="{00000000-0008-0000-0000-00004E92B114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17"/>
  <sheetViews>
    <sheetView showGridLines="0" tabSelected="1" workbookViewId="0"/>
  </sheetViews>
  <sheetFormatPr defaultColWidth="12.6640625" defaultRowHeight="15" customHeight="1"/>
  <cols>
    <col min="1" max="1" width="3.77734375" customWidth="1"/>
    <col min="2" max="2" width="14.33203125" customWidth="1"/>
    <col min="3" max="3" width="8.6640625" customWidth="1"/>
    <col min="4" max="4" width="11.6640625" customWidth="1"/>
    <col min="5" max="5" width="9.21875" customWidth="1"/>
    <col min="6" max="7" width="12.6640625" customWidth="1"/>
    <col min="9" max="9" width="21.6640625" customWidth="1"/>
    <col min="10" max="10" width="7.33203125" customWidth="1"/>
    <col min="11" max="11" width="4.109375" customWidth="1"/>
    <col min="12" max="12" width="5.88671875" customWidth="1"/>
    <col min="13" max="14" width="7.33203125" customWidth="1"/>
    <col min="15" max="15" width="11.88671875" customWidth="1"/>
    <col min="17" max="17" width="7.33203125" customWidth="1"/>
    <col min="18" max="18" width="11.21875" customWidth="1"/>
    <col min="19" max="19" width="4.77734375" customWidth="1"/>
    <col min="20" max="20" width="7" customWidth="1"/>
    <col min="21" max="21" width="4.88671875" customWidth="1"/>
    <col min="22" max="22" width="7.21875" customWidth="1"/>
    <col min="23" max="23" width="5.88671875" customWidth="1"/>
    <col min="24" max="24" width="5.44140625" customWidth="1"/>
    <col min="26" max="26" width="3.88671875" customWidth="1"/>
    <col min="27" max="27" width="12.33203125" customWidth="1"/>
    <col min="28" max="28" width="4.88671875" customWidth="1"/>
    <col min="29" max="29" width="5.44140625" customWidth="1"/>
    <col min="30" max="30" width="6.88671875" customWidth="1"/>
    <col min="31" max="31" width="6.77734375" customWidth="1"/>
    <col min="32" max="32" width="11" customWidth="1"/>
  </cols>
  <sheetData>
    <row r="1" spans="1:42" ht="15.75" customHeight="1">
      <c r="A1" s="1"/>
      <c r="B1" s="1"/>
      <c r="C1" s="1"/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>
      <c r="A2" s="1"/>
      <c r="B2" s="165" t="s">
        <v>0</v>
      </c>
      <c r="C2" s="133"/>
      <c r="D2" s="1"/>
      <c r="G2" s="1"/>
      <c r="H2" s="3" t="s">
        <v>1</v>
      </c>
      <c r="I2" s="1" t="s">
        <v>2</v>
      </c>
      <c r="J2" s="1"/>
      <c r="K2" s="1"/>
      <c r="L2" s="1"/>
      <c r="M2" s="1"/>
      <c r="N2" s="1"/>
      <c r="O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2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>
      <c r="A3" s="1"/>
      <c r="B3" s="133"/>
      <c r="C3" s="133"/>
      <c r="D3" s="1"/>
      <c r="E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2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>
      <c r="A4" s="1"/>
      <c r="B4" s="166" t="s">
        <v>3</v>
      </c>
      <c r="C4" s="133"/>
      <c r="D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>
      <c r="A5" s="1"/>
      <c r="B5" s="1"/>
      <c r="C5" s="1"/>
      <c r="D5" s="1"/>
      <c r="G5" s="1"/>
      <c r="H5" s="1"/>
      <c r="I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2"/>
      <c r="AH5" s="1"/>
      <c r="AI5" s="1"/>
      <c r="AJ5" s="1"/>
      <c r="AK5" s="1"/>
      <c r="AL5" s="1"/>
      <c r="AM5" s="1"/>
      <c r="AN5" s="1"/>
      <c r="AO5" s="1"/>
      <c r="AP5" s="1"/>
    </row>
    <row r="6" spans="1:42" ht="15.75" customHeight="1">
      <c r="A6" s="1"/>
      <c r="B6" s="1"/>
      <c r="C6" s="1"/>
      <c r="D6" s="1"/>
      <c r="G6" s="1"/>
      <c r="H6" s="1"/>
      <c r="I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2"/>
      <c r="AH6" s="1"/>
      <c r="AI6" s="1"/>
      <c r="AJ6" s="1"/>
      <c r="AK6" s="1"/>
      <c r="AL6" s="1"/>
      <c r="AM6" s="1"/>
      <c r="AN6" s="1"/>
      <c r="AO6" s="1"/>
      <c r="AP6" s="1"/>
    </row>
    <row r="7" spans="1:42" ht="15.75" customHeight="1">
      <c r="A7" s="1"/>
      <c r="B7" s="167" t="s">
        <v>4</v>
      </c>
      <c r="C7" s="152"/>
      <c r="D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/>
      <c r="AH7" s="1"/>
      <c r="AI7" s="1"/>
      <c r="AJ7" s="1"/>
      <c r="AK7" s="1"/>
      <c r="AL7" s="1"/>
      <c r="AM7" s="1"/>
      <c r="AN7" s="1"/>
      <c r="AO7" s="1"/>
      <c r="AP7" s="1"/>
    </row>
    <row r="8" spans="1:42" ht="15.75" customHeight="1">
      <c r="A8" s="1"/>
      <c r="B8" s="5" t="s">
        <v>5</v>
      </c>
      <c r="C8" s="6">
        <v>46023</v>
      </c>
      <c r="D8" s="1"/>
      <c r="G8" s="1"/>
      <c r="H8" s="1"/>
      <c r="I8" s="1"/>
      <c r="J8" s="166" t="str">
        <f>CONCATENATE(C10," ",D21)</f>
        <v>$ 5574</v>
      </c>
      <c r="K8" s="13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/>
      <c r="AH8" s="1"/>
      <c r="AI8" s="1"/>
      <c r="AJ8" s="1"/>
      <c r="AK8" s="1"/>
      <c r="AL8" s="1"/>
      <c r="AM8" s="1"/>
      <c r="AN8" s="1"/>
      <c r="AO8" s="1"/>
      <c r="AP8" s="1"/>
    </row>
    <row r="9" spans="1:42" ht="15.75" customHeight="1">
      <c r="A9" s="1"/>
      <c r="B9" s="7" t="s">
        <v>6</v>
      </c>
      <c r="C9" s="8" t="s">
        <v>7</v>
      </c>
      <c r="D9" s="1"/>
      <c r="G9" s="1"/>
      <c r="H9" s="1"/>
      <c r="I9" s="1"/>
      <c r="J9" s="133"/>
      <c r="K9" s="13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/>
      <c r="AH9" s="1"/>
      <c r="AI9" s="1"/>
      <c r="AJ9" s="1"/>
      <c r="AK9" s="1"/>
      <c r="AL9" s="1"/>
      <c r="AM9" s="1"/>
      <c r="AN9" s="1"/>
      <c r="AO9" s="1"/>
      <c r="AP9" s="1"/>
    </row>
    <row r="10" spans="1:42" ht="15.75" customHeight="1">
      <c r="A10" s="1"/>
      <c r="B10" s="7" t="s">
        <v>8</v>
      </c>
      <c r="C10" s="8" t="s">
        <v>9</v>
      </c>
      <c r="D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5.75" customHeight="1">
      <c r="A11" s="1"/>
      <c r="B11" s="7" t="s">
        <v>10</v>
      </c>
      <c r="C11" s="8">
        <v>1000</v>
      </c>
      <c r="D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.75" customHeight="1">
      <c r="A12" s="1"/>
      <c r="B12" s="1"/>
      <c r="C12" s="1"/>
      <c r="D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.75" customHeight="1">
      <c r="A13" s="1"/>
      <c r="B13" s="168" t="s">
        <v>11</v>
      </c>
      <c r="C13" s="137"/>
      <c r="D13" s="137"/>
      <c r="E13" s="137"/>
      <c r="F13" s="13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75" customHeight="1">
      <c r="A14" s="1"/>
      <c r="B14" s="9"/>
      <c r="C14" s="169" t="s">
        <v>12</v>
      </c>
      <c r="D14" s="137"/>
      <c r="E14" s="169" t="s">
        <v>13</v>
      </c>
      <c r="F14" s="13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2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75" customHeight="1">
      <c r="A15" s="1"/>
      <c r="B15" s="10" t="e">
        <f ca="1">_xludf.CONCAT("+","Start Balance")</f>
        <v>#NAME?</v>
      </c>
      <c r="C15" s="11" t="str">
        <f t="shared" ref="C15:C21" si="0">$C$10</f>
        <v>$</v>
      </c>
      <c r="D15" s="12">
        <f>C11</f>
        <v>1000</v>
      </c>
      <c r="E15" s="11" t="str">
        <f t="shared" ref="E15:E21" si="1">$C$10</f>
        <v>$</v>
      </c>
      <c r="F15" s="1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2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.75" customHeight="1">
      <c r="A16" s="1"/>
      <c r="B16" s="10" t="e">
        <f ca="1">_xludf.CONCAT("+","Income")</f>
        <v>#NAME?</v>
      </c>
      <c r="C16" s="11" t="str">
        <f t="shared" si="0"/>
        <v>$</v>
      </c>
      <c r="D16" s="12">
        <f>SUM(D26:D29)</f>
        <v>6200</v>
      </c>
      <c r="E16" s="11" t="str">
        <f t="shared" si="1"/>
        <v>$</v>
      </c>
      <c r="F16" s="13">
        <f>SUM(F26:F29)</f>
        <v>4900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2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8" customHeight="1">
      <c r="A17" s="1"/>
      <c r="B17" s="10" t="e">
        <f ca="1">_xludf.CONCAT("-","Bills")</f>
        <v>#NAME?</v>
      </c>
      <c r="C17" s="11" t="str">
        <f t="shared" si="0"/>
        <v>$</v>
      </c>
      <c r="D17" s="14">
        <f>SUM(M19:M37)</f>
        <v>1767</v>
      </c>
      <c r="E17" s="11" t="str">
        <f t="shared" si="1"/>
        <v>$</v>
      </c>
      <c r="F17" s="15">
        <f>SUM(O19:O37)</f>
        <v>1465</v>
      </c>
      <c r="G17" s="1"/>
      <c r="H17" s="158" t="s">
        <v>14</v>
      </c>
      <c r="I17" s="137"/>
      <c r="J17" s="137"/>
      <c r="K17" s="137"/>
      <c r="L17" s="137"/>
      <c r="M17" s="137"/>
      <c r="N17" s="137"/>
      <c r="O17" s="138"/>
      <c r="P17" s="1"/>
      <c r="Q17" s="159" t="s">
        <v>15</v>
      </c>
      <c r="R17" s="160"/>
      <c r="S17" s="160"/>
      <c r="T17" s="160"/>
      <c r="U17" s="160"/>
      <c r="V17" s="160"/>
      <c r="W17" s="160"/>
      <c r="X17" s="161"/>
      <c r="Y17" s="16"/>
      <c r="Z17" s="162" t="s">
        <v>16</v>
      </c>
      <c r="AA17" s="160"/>
      <c r="AB17" s="160"/>
      <c r="AC17" s="160"/>
      <c r="AD17" s="160"/>
      <c r="AE17" s="160"/>
      <c r="AF17" s="161"/>
      <c r="AG17" s="2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75" customHeight="1">
      <c r="A18" s="1"/>
      <c r="B18" s="10" t="e">
        <f ca="1">_xludf.CONCAT("-","Expense")</f>
        <v>#NAME?</v>
      </c>
      <c r="C18" s="11" t="str">
        <f t="shared" si="0"/>
        <v>$</v>
      </c>
      <c r="D18" s="14">
        <f>SUM(T19:T37)</f>
        <v>919</v>
      </c>
      <c r="E18" s="11" t="str">
        <f t="shared" si="1"/>
        <v>$</v>
      </c>
      <c r="F18" s="15">
        <f>SUM(V19:V37)</f>
        <v>527</v>
      </c>
      <c r="G18" s="1"/>
      <c r="H18" s="17"/>
      <c r="I18" s="18" t="s">
        <v>17</v>
      </c>
      <c r="J18" s="163" t="s">
        <v>18</v>
      </c>
      <c r="K18" s="164"/>
      <c r="L18" s="163" t="s">
        <v>12</v>
      </c>
      <c r="M18" s="164"/>
      <c r="N18" s="163" t="s">
        <v>13</v>
      </c>
      <c r="O18" s="152"/>
      <c r="P18" s="1"/>
      <c r="Q18" s="19"/>
      <c r="R18" s="20" t="s">
        <v>19</v>
      </c>
      <c r="S18" s="153" t="s">
        <v>12</v>
      </c>
      <c r="T18" s="154"/>
      <c r="U18" s="153" t="s">
        <v>13</v>
      </c>
      <c r="V18" s="154"/>
      <c r="W18" s="155" t="s">
        <v>20</v>
      </c>
      <c r="X18" s="156"/>
      <c r="Y18" s="21"/>
      <c r="Z18" s="22"/>
      <c r="AA18" s="23" t="s">
        <v>19</v>
      </c>
      <c r="AB18" s="23" t="s">
        <v>18</v>
      </c>
      <c r="AC18" s="157" t="s">
        <v>21</v>
      </c>
      <c r="AD18" s="154"/>
      <c r="AE18" s="157" t="s">
        <v>13</v>
      </c>
      <c r="AF18" s="156"/>
      <c r="AG18" s="2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5.75" customHeight="1">
      <c r="A19" s="1"/>
      <c r="B19" s="10" t="e">
        <f ca="1">_xludf.CONCAT("-","Debt")</f>
        <v>#NAME?</v>
      </c>
      <c r="C19" s="11" t="str">
        <f t="shared" si="0"/>
        <v>$</v>
      </c>
      <c r="D19" s="14">
        <f>SUM(AD19:AD37)</f>
        <v>740</v>
      </c>
      <c r="E19" s="11" t="str">
        <f t="shared" si="1"/>
        <v>$</v>
      </c>
      <c r="F19" s="15">
        <f>SUM(AF19:AF37)</f>
        <v>560</v>
      </c>
      <c r="G19" s="1"/>
      <c r="H19" s="24" t="b">
        <v>1</v>
      </c>
      <c r="I19" s="25" t="s">
        <v>22</v>
      </c>
      <c r="J19" s="26" t="str">
        <f t="shared" ref="J19:J37" si="2">$C$10</f>
        <v>$</v>
      </c>
      <c r="K19" s="27">
        <v>1</v>
      </c>
      <c r="L19" s="26" t="str">
        <f t="shared" ref="L19:L37" si="3">$C$10</f>
        <v>$</v>
      </c>
      <c r="M19" s="28">
        <v>900</v>
      </c>
      <c r="N19" s="24" t="str">
        <f t="shared" ref="N19:N37" si="4">$C$10</f>
        <v>$</v>
      </c>
      <c r="O19" s="29">
        <v>880</v>
      </c>
      <c r="P19" s="1"/>
      <c r="Q19" s="30" t="b">
        <v>1</v>
      </c>
      <c r="R19" s="31" t="s">
        <v>23</v>
      </c>
      <c r="S19" s="32" t="str">
        <f t="shared" ref="S19:S37" si="5">$C$10</f>
        <v>$</v>
      </c>
      <c r="T19" s="33">
        <v>14</v>
      </c>
      <c r="U19" s="32" t="str">
        <f t="shared" ref="U19:U37" si="6">$C$10</f>
        <v>$</v>
      </c>
      <c r="V19" s="33">
        <v>12</v>
      </c>
      <c r="W19" s="34" t="str">
        <f t="shared" ref="W19:W37" si="7">$C$10</f>
        <v>$</v>
      </c>
      <c r="X19" s="35">
        <f t="shared" ref="X19:X27" si="8">T19-V19</f>
        <v>2</v>
      </c>
      <c r="Y19" s="1"/>
      <c r="Z19" s="36" t="b">
        <v>0</v>
      </c>
      <c r="AA19" s="37" t="s">
        <v>24</v>
      </c>
      <c r="AB19" s="38"/>
      <c r="AC19" s="39" t="str">
        <f t="shared" ref="AC19:AC37" si="9">$C$10</f>
        <v>$</v>
      </c>
      <c r="AD19" s="40">
        <v>150</v>
      </c>
      <c r="AE19" s="41" t="str">
        <f t="shared" ref="AE19:AE37" si="10">$C$10</f>
        <v>$</v>
      </c>
      <c r="AF19" s="42">
        <v>150</v>
      </c>
      <c r="AG19" s="2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>
      <c r="A20" s="1"/>
      <c r="B20" s="10" t="e">
        <f ca="1">_xludf.CONCAT("+","Savings")</f>
        <v>#NAME?</v>
      </c>
      <c r="C20" s="11" t="str">
        <f t="shared" si="0"/>
        <v>$</v>
      </c>
      <c r="D20" s="14">
        <f>SUM(D33:D35)</f>
        <v>1800</v>
      </c>
      <c r="E20" s="11" t="str">
        <f t="shared" si="1"/>
        <v>$</v>
      </c>
      <c r="F20" s="15">
        <f>SUM(F33:F35)</f>
        <v>850</v>
      </c>
      <c r="G20" s="1"/>
      <c r="H20" s="43" t="b">
        <v>1</v>
      </c>
      <c r="I20" s="44" t="s">
        <v>25</v>
      </c>
      <c r="J20" s="8" t="str">
        <f t="shared" si="2"/>
        <v>$</v>
      </c>
      <c r="K20" s="45">
        <v>7</v>
      </c>
      <c r="L20" s="8" t="str">
        <f t="shared" si="3"/>
        <v>$</v>
      </c>
      <c r="M20" s="46">
        <v>75</v>
      </c>
      <c r="N20" s="43" t="str">
        <f t="shared" si="4"/>
        <v>$</v>
      </c>
      <c r="O20" s="47">
        <v>75</v>
      </c>
      <c r="P20" s="1"/>
      <c r="Q20" s="48" t="b">
        <v>1</v>
      </c>
      <c r="R20" s="49" t="s">
        <v>26</v>
      </c>
      <c r="S20" s="50" t="str">
        <f t="shared" si="5"/>
        <v>$</v>
      </c>
      <c r="T20" s="51">
        <v>30</v>
      </c>
      <c r="U20" s="50" t="str">
        <f t="shared" si="6"/>
        <v>$</v>
      </c>
      <c r="V20" s="51">
        <v>10</v>
      </c>
      <c r="W20" s="52" t="str">
        <f t="shared" si="7"/>
        <v>$</v>
      </c>
      <c r="X20" s="53">
        <f t="shared" si="8"/>
        <v>20</v>
      </c>
      <c r="Y20" s="1"/>
      <c r="Z20" s="54" t="b">
        <v>1</v>
      </c>
      <c r="AA20" s="55" t="s">
        <v>27</v>
      </c>
      <c r="AB20" s="38">
        <v>7</v>
      </c>
      <c r="AC20" s="39" t="str">
        <f t="shared" si="9"/>
        <v>$</v>
      </c>
      <c r="AD20" s="56">
        <v>45</v>
      </c>
      <c r="AE20" s="11" t="str">
        <f t="shared" si="10"/>
        <v>$</v>
      </c>
      <c r="AF20" s="57">
        <v>25</v>
      </c>
      <c r="AG20" s="2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15.75" customHeight="1">
      <c r="A21" s="1"/>
      <c r="B21" s="10" t="s">
        <v>20</v>
      </c>
      <c r="C21" s="11" t="str">
        <f t="shared" si="0"/>
        <v>$</v>
      </c>
      <c r="D21" s="14">
        <f>D15+D16-D17-D18-D19+D20</f>
        <v>5574</v>
      </c>
      <c r="E21" s="11" t="str">
        <f t="shared" si="1"/>
        <v>$</v>
      </c>
      <c r="F21" s="15">
        <f>F15+F16-F17-F18-F19+F20</f>
        <v>3198</v>
      </c>
      <c r="G21" s="1"/>
      <c r="H21" s="43" t="b">
        <v>1</v>
      </c>
      <c r="I21" s="44" t="s">
        <v>28</v>
      </c>
      <c r="J21" s="8" t="str">
        <f t="shared" si="2"/>
        <v>$</v>
      </c>
      <c r="K21" s="45">
        <v>9</v>
      </c>
      <c r="L21" s="8" t="str">
        <f t="shared" si="3"/>
        <v>$</v>
      </c>
      <c r="M21" s="46">
        <v>25</v>
      </c>
      <c r="N21" s="43" t="str">
        <f t="shared" si="4"/>
        <v>$</v>
      </c>
      <c r="O21" s="47">
        <v>25</v>
      </c>
      <c r="P21" s="1"/>
      <c r="Q21" s="48" t="b">
        <v>0</v>
      </c>
      <c r="R21" s="49" t="s">
        <v>29</v>
      </c>
      <c r="S21" s="50" t="str">
        <f t="shared" si="5"/>
        <v>$</v>
      </c>
      <c r="T21" s="51">
        <v>75</v>
      </c>
      <c r="U21" s="50" t="str">
        <f t="shared" si="6"/>
        <v>$</v>
      </c>
      <c r="V21" s="51">
        <v>30</v>
      </c>
      <c r="W21" s="52" t="str">
        <f t="shared" si="7"/>
        <v>$</v>
      </c>
      <c r="X21" s="53">
        <f t="shared" si="8"/>
        <v>45</v>
      </c>
      <c r="Y21" s="1"/>
      <c r="Z21" s="54" t="b">
        <v>1</v>
      </c>
      <c r="AA21" s="55" t="s">
        <v>30</v>
      </c>
      <c r="AB21" s="38">
        <v>9</v>
      </c>
      <c r="AC21" s="39" t="str">
        <f t="shared" si="9"/>
        <v>$</v>
      </c>
      <c r="AD21" s="56">
        <v>75</v>
      </c>
      <c r="AE21" s="11" t="str">
        <f t="shared" si="10"/>
        <v>$</v>
      </c>
      <c r="AF21" s="57">
        <v>75</v>
      </c>
      <c r="AG21" s="2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customHeight="1">
      <c r="A22" s="1"/>
      <c r="B22" s="58"/>
      <c r="G22" s="1"/>
      <c r="H22" s="43" t="b">
        <v>1</v>
      </c>
      <c r="I22" s="44" t="s">
        <v>31</v>
      </c>
      <c r="J22" s="8" t="str">
        <f t="shared" si="2"/>
        <v>$</v>
      </c>
      <c r="K22" s="45">
        <v>11</v>
      </c>
      <c r="L22" s="8" t="str">
        <f t="shared" si="3"/>
        <v>$</v>
      </c>
      <c r="M22" s="46">
        <v>45</v>
      </c>
      <c r="N22" s="43" t="str">
        <f t="shared" si="4"/>
        <v>$</v>
      </c>
      <c r="O22" s="47"/>
      <c r="Q22" s="48" t="b">
        <v>0</v>
      </c>
      <c r="R22" s="49" t="s">
        <v>32</v>
      </c>
      <c r="S22" s="50" t="str">
        <f t="shared" si="5"/>
        <v>$</v>
      </c>
      <c r="T22" s="51">
        <v>100</v>
      </c>
      <c r="U22" s="50" t="str">
        <f t="shared" si="6"/>
        <v>$</v>
      </c>
      <c r="V22" s="51">
        <v>60</v>
      </c>
      <c r="W22" s="52" t="str">
        <f t="shared" si="7"/>
        <v>$</v>
      </c>
      <c r="X22" s="53">
        <f t="shared" si="8"/>
        <v>40</v>
      </c>
      <c r="Y22" s="1"/>
      <c r="Z22" s="54" t="b">
        <v>1</v>
      </c>
      <c r="AA22" s="55" t="s">
        <v>33</v>
      </c>
      <c r="AB22" s="38">
        <v>15</v>
      </c>
      <c r="AC22" s="39" t="str">
        <f t="shared" si="9"/>
        <v>$</v>
      </c>
      <c r="AD22" s="56">
        <v>95</v>
      </c>
      <c r="AE22" s="11" t="str">
        <f t="shared" si="10"/>
        <v>$</v>
      </c>
      <c r="AF22" s="57">
        <v>60</v>
      </c>
      <c r="AG22" s="2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15.75" customHeight="1">
      <c r="A23" s="1"/>
      <c r="B23" s="58"/>
      <c r="G23" s="1"/>
      <c r="H23" s="43" t="b">
        <v>0</v>
      </c>
      <c r="I23" s="44" t="s">
        <v>34</v>
      </c>
      <c r="J23" s="8" t="str">
        <f t="shared" si="2"/>
        <v>$</v>
      </c>
      <c r="K23" s="45"/>
      <c r="L23" s="8" t="str">
        <f t="shared" si="3"/>
        <v>$</v>
      </c>
      <c r="M23" s="46">
        <v>150</v>
      </c>
      <c r="N23" s="43" t="str">
        <f t="shared" si="4"/>
        <v>$</v>
      </c>
      <c r="O23" s="47">
        <v>75</v>
      </c>
      <c r="P23" s="1"/>
      <c r="Q23" s="48" t="b">
        <v>0</v>
      </c>
      <c r="R23" s="49" t="s">
        <v>35</v>
      </c>
      <c r="S23" s="50" t="str">
        <f t="shared" si="5"/>
        <v>$</v>
      </c>
      <c r="T23" s="51">
        <v>150</v>
      </c>
      <c r="U23" s="50" t="str">
        <f t="shared" si="6"/>
        <v>$</v>
      </c>
      <c r="V23" s="51">
        <v>100</v>
      </c>
      <c r="W23" s="52" t="str">
        <f t="shared" si="7"/>
        <v>$</v>
      </c>
      <c r="X23" s="53">
        <f t="shared" si="8"/>
        <v>50</v>
      </c>
      <c r="Y23" s="1"/>
      <c r="Z23" s="54" t="b">
        <v>0</v>
      </c>
      <c r="AA23" s="55" t="s">
        <v>36</v>
      </c>
      <c r="AB23" s="38">
        <v>10</v>
      </c>
      <c r="AC23" s="39" t="str">
        <f t="shared" si="9"/>
        <v>$</v>
      </c>
      <c r="AD23" s="56">
        <v>25</v>
      </c>
      <c r="AE23" s="11" t="str">
        <f t="shared" si="10"/>
        <v>$</v>
      </c>
      <c r="AF23" s="57"/>
      <c r="AG23" s="2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.75" customHeight="1">
      <c r="A24" s="1"/>
      <c r="B24" s="170" t="s">
        <v>37</v>
      </c>
      <c r="C24" s="140"/>
      <c r="D24" s="140"/>
      <c r="E24" s="140"/>
      <c r="F24" s="152"/>
      <c r="G24" s="1"/>
      <c r="H24" s="43" t="b">
        <v>0</v>
      </c>
      <c r="I24" s="44" t="s">
        <v>38</v>
      </c>
      <c r="J24" s="8" t="str">
        <f t="shared" si="2"/>
        <v>$</v>
      </c>
      <c r="K24" s="45"/>
      <c r="L24" s="8" t="str">
        <f t="shared" si="3"/>
        <v>$</v>
      </c>
      <c r="M24" s="46">
        <v>350</v>
      </c>
      <c r="N24" s="43" t="str">
        <f t="shared" si="4"/>
        <v>$</v>
      </c>
      <c r="O24" s="47">
        <v>235</v>
      </c>
      <c r="P24" s="1"/>
      <c r="Q24" s="48" t="b">
        <v>0</v>
      </c>
      <c r="R24" s="49" t="s">
        <v>39</v>
      </c>
      <c r="S24" s="50" t="str">
        <f t="shared" si="5"/>
        <v>$</v>
      </c>
      <c r="T24" s="51">
        <v>100</v>
      </c>
      <c r="U24" s="50" t="str">
        <f t="shared" si="6"/>
        <v>$</v>
      </c>
      <c r="V24" s="51">
        <v>50</v>
      </c>
      <c r="W24" s="52" t="str">
        <f t="shared" si="7"/>
        <v>$</v>
      </c>
      <c r="X24" s="53">
        <f t="shared" si="8"/>
        <v>50</v>
      </c>
      <c r="Y24" s="1"/>
      <c r="Z24" s="54" t="b">
        <v>0</v>
      </c>
      <c r="AA24" s="55" t="s">
        <v>40</v>
      </c>
      <c r="AB24" s="38"/>
      <c r="AC24" s="39" t="str">
        <f t="shared" si="9"/>
        <v>$</v>
      </c>
      <c r="AD24" s="56">
        <v>25</v>
      </c>
      <c r="AE24" s="11" t="str">
        <f t="shared" si="10"/>
        <v>$</v>
      </c>
      <c r="AF24" s="57"/>
      <c r="AG24" s="2"/>
      <c r="AH24" s="1"/>
      <c r="AI24" s="1"/>
      <c r="AJ24" s="1"/>
      <c r="AK24" s="1"/>
      <c r="AL24" s="1"/>
      <c r="AM24" s="1"/>
      <c r="AN24" s="1"/>
      <c r="AO24" s="1"/>
      <c r="AP24" s="1"/>
    </row>
    <row r="25" spans="1:42" ht="15.75" customHeight="1">
      <c r="A25" s="1"/>
      <c r="B25" s="59" t="s">
        <v>19</v>
      </c>
      <c r="C25" s="171" t="s">
        <v>12</v>
      </c>
      <c r="D25" s="140"/>
      <c r="E25" s="171" t="s">
        <v>13</v>
      </c>
      <c r="F25" s="152"/>
      <c r="G25" s="1"/>
      <c r="H25" s="43" t="b">
        <v>0</v>
      </c>
      <c r="I25" s="44" t="s">
        <v>41</v>
      </c>
      <c r="J25" s="8" t="str">
        <f t="shared" si="2"/>
        <v>$</v>
      </c>
      <c r="K25" s="45"/>
      <c r="L25" s="8" t="str">
        <f t="shared" si="3"/>
        <v>$</v>
      </c>
      <c r="M25" s="46">
        <v>50</v>
      </c>
      <c r="N25" s="43" t="str">
        <f t="shared" si="4"/>
        <v>$</v>
      </c>
      <c r="O25" s="47">
        <v>15</v>
      </c>
      <c r="P25" s="1"/>
      <c r="Q25" s="60" t="b">
        <v>0</v>
      </c>
      <c r="R25" s="49" t="s">
        <v>42</v>
      </c>
      <c r="S25" s="50" t="str">
        <f t="shared" si="5"/>
        <v>$</v>
      </c>
      <c r="T25" s="51">
        <v>200</v>
      </c>
      <c r="U25" s="50" t="str">
        <f t="shared" si="6"/>
        <v>$</v>
      </c>
      <c r="V25" s="51">
        <v>150</v>
      </c>
      <c r="W25" s="52" t="str">
        <f t="shared" si="7"/>
        <v>$</v>
      </c>
      <c r="X25" s="53">
        <f t="shared" si="8"/>
        <v>50</v>
      </c>
      <c r="Y25" s="1"/>
      <c r="Z25" s="61" t="b">
        <v>0</v>
      </c>
      <c r="AA25" s="62" t="s">
        <v>43</v>
      </c>
      <c r="AB25" s="2"/>
      <c r="AC25" s="39" t="str">
        <f t="shared" si="9"/>
        <v>$</v>
      </c>
      <c r="AD25" s="63">
        <v>250</v>
      </c>
      <c r="AE25" s="11" t="str">
        <f t="shared" si="10"/>
        <v>$</v>
      </c>
      <c r="AF25" s="64">
        <v>250</v>
      </c>
      <c r="AG25" s="2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.75" customHeight="1">
      <c r="A26" s="1"/>
      <c r="B26" s="65" t="s">
        <v>44</v>
      </c>
      <c r="C26" s="66" t="str">
        <f t="shared" ref="C26:C29" si="11">$C$10</f>
        <v>$</v>
      </c>
      <c r="D26" s="67">
        <v>2000</v>
      </c>
      <c r="E26" s="66" t="str">
        <f t="shared" ref="E26:E29" si="12">$C$10</f>
        <v>$</v>
      </c>
      <c r="F26" s="68">
        <v>1800</v>
      </c>
      <c r="G26" s="1"/>
      <c r="H26" s="43" t="b">
        <v>0</v>
      </c>
      <c r="I26" s="44" t="s">
        <v>45</v>
      </c>
      <c r="J26" s="8" t="str">
        <f t="shared" si="2"/>
        <v>$</v>
      </c>
      <c r="K26" s="45">
        <v>14</v>
      </c>
      <c r="L26" s="8" t="str">
        <f t="shared" si="3"/>
        <v>$</v>
      </c>
      <c r="M26" s="46">
        <v>15</v>
      </c>
      <c r="N26" s="43" t="str">
        <f t="shared" si="4"/>
        <v>$</v>
      </c>
      <c r="O26" s="47"/>
      <c r="P26" s="1"/>
      <c r="Q26" s="48" t="b">
        <v>0</v>
      </c>
      <c r="R26" s="49" t="s">
        <v>46</v>
      </c>
      <c r="S26" s="50" t="str">
        <f t="shared" si="5"/>
        <v>$</v>
      </c>
      <c r="T26" s="51">
        <v>150</v>
      </c>
      <c r="U26" s="50" t="str">
        <f t="shared" si="6"/>
        <v>$</v>
      </c>
      <c r="V26" s="51">
        <v>40</v>
      </c>
      <c r="W26" s="52" t="str">
        <f t="shared" si="7"/>
        <v>$</v>
      </c>
      <c r="X26" s="53">
        <f t="shared" si="8"/>
        <v>110</v>
      </c>
      <c r="Y26" s="1"/>
      <c r="Z26" s="54" t="b">
        <v>0</v>
      </c>
      <c r="AA26" s="69" t="s">
        <v>47</v>
      </c>
      <c r="AB26" s="50"/>
      <c r="AC26" s="32" t="str">
        <f t="shared" si="9"/>
        <v>$</v>
      </c>
      <c r="AD26" s="56">
        <v>75</v>
      </c>
      <c r="AE26" s="41" t="str">
        <f t="shared" si="10"/>
        <v>$</v>
      </c>
      <c r="AF26" s="57"/>
      <c r="AG26" s="2"/>
      <c r="AH26" s="1"/>
      <c r="AI26" s="1"/>
      <c r="AJ26" s="1"/>
      <c r="AK26" s="1"/>
      <c r="AL26" s="1"/>
      <c r="AM26" s="1"/>
      <c r="AN26" s="1"/>
      <c r="AO26" s="1"/>
      <c r="AP26" s="1"/>
    </row>
    <row r="27" spans="1:42" ht="15.75" customHeight="1">
      <c r="A27" s="1"/>
      <c r="B27" s="70" t="s">
        <v>48</v>
      </c>
      <c r="C27" s="71" t="str">
        <f t="shared" si="11"/>
        <v>$</v>
      </c>
      <c r="D27" s="72">
        <v>500</v>
      </c>
      <c r="E27" s="71" t="str">
        <f t="shared" si="12"/>
        <v>$</v>
      </c>
      <c r="F27" s="73">
        <v>450</v>
      </c>
      <c r="G27" s="1"/>
      <c r="H27" s="43" t="b">
        <v>0</v>
      </c>
      <c r="I27" s="44" t="s">
        <v>49</v>
      </c>
      <c r="J27" s="8" t="str">
        <f t="shared" si="2"/>
        <v>$</v>
      </c>
      <c r="K27" s="45">
        <v>10</v>
      </c>
      <c r="L27" s="8" t="str">
        <f t="shared" si="3"/>
        <v>$</v>
      </c>
      <c r="M27" s="46">
        <v>7</v>
      </c>
      <c r="N27" s="43" t="str">
        <f t="shared" si="4"/>
        <v>$</v>
      </c>
      <c r="O27" s="47">
        <v>10</v>
      </c>
      <c r="P27" s="1"/>
      <c r="Q27" s="48" t="b">
        <v>0</v>
      </c>
      <c r="R27" s="49" t="s">
        <v>50</v>
      </c>
      <c r="S27" s="50" t="str">
        <f t="shared" si="5"/>
        <v>$</v>
      </c>
      <c r="T27" s="51">
        <v>100</v>
      </c>
      <c r="U27" s="50" t="str">
        <f t="shared" si="6"/>
        <v>$</v>
      </c>
      <c r="V27" s="51">
        <v>75</v>
      </c>
      <c r="W27" s="52" t="str">
        <f t="shared" si="7"/>
        <v>$</v>
      </c>
      <c r="X27" s="53">
        <f t="shared" si="8"/>
        <v>25</v>
      </c>
      <c r="Y27" s="1"/>
      <c r="Z27" s="54" t="b">
        <v>0</v>
      </c>
      <c r="AA27" s="69"/>
      <c r="AB27" s="50"/>
      <c r="AC27" s="32" t="str">
        <f t="shared" si="9"/>
        <v>$</v>
      </c>
      <c r="AD27" s="74"/>
      <c r="AE27" s="41" t="str">
        <f t="shared" si="10"/>
        <v>$</v>
      </c>
      <c r="AF27" s="75"/>
      <c r="AG27" s="2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5.75" customHeight="1">
      <c r="A28" s="1"/>
      <c r="B28" s="70" t="s">
        <v>51</v>
      </c>
      <c r="C28" s="71" t="str">
        <f t="shared" si="11"/>
        <v>$</v>
      </c>
      <c r="D28" s="72">
        <v>600</v>
      </c>
      <c r="E28" s="71" t="str">
        <f t="shared" si="12"/>
        <v>$</v>
      </c>
      <c r="F28" s="73">
        <v>200</v>
      </c>
      <c r="G28" s="1"/>
      <c r="H28" s="43" t="b">
        <v>0</v>
      </c>
      <c r="I28" s="44" t="s">
        <v>52</v>
      </c>
      <c r="J28" s="8" t="str">
        <f t="shared" si="2"/>
        <v>$</v>
      </c>
      <c r="K28" s="45"/>
      <c r="L28" s="8" t="str">
        <f t="shared" si="3"/>
        <v>$</v>
      </c>
      <c r="M28" s="46">
        <v>50</v>
      </c>
      <c r="N28" s="43" t="str">
        <f t="shared" si="4"/>
        <v>$</v>
      </c>
      <c r="O28" s="47"/>
      <c r="P28" s="1"/>
      <c r="Q28" s="48" t="b">
        <v>0</v>
      </c>
      <c r="R28" s="49"/>
      <c r="S28" s="50" t="str">
        <f t="shared" si="5"/>
        <v>$</v>
      </c>
      <c r="T28" s="76"/>
      <c r="U28" s="50" t="str">
        <f t="shared" si="6"/>
        <v>$</v>
      </c>
      <c r="V28" s="76"/>
      <c r="W28" s="52" t="str">
        <f t="shared" si="7"/>
        <v>$</v>
      </c>
      <c r="X28" s="77"/>
      <c r="Y28" s="1"/>
      <c r="Z28" s="54" t="b">
        <v>0</v>
      </c>
      <c r="AA28" s="69"/>
      <c r="AB28" s="50"/>
      <c r="AC28" s="32" t="str">
        <f t="shared" si="9"/>
        <v>$</v>
      </c>
      <c r="AD28" s="74"/>
      <c r="AE28" s="41" t="str">
        <f t="shared" si="10"/>
        <v>$</v>
      </c>
      <c r="AF28" s="75"/>
      <c r="AG28" s="2"/>
      <c r="AH28" s="1"/>
      <c r="AI28" s="1"/>
      <c r="AJ28" s="1"/>
      <c r="AK28" s="1"/>
      <c r="AL28" s="1"/>
      <c r="AM28" s="1"/>
      <c r="AN28" s="1"/>
      <c r="AO28" s="1"/>
      <c r="AP28" s="1"/>
    </row>
    <row r="29" spans="1:42" ht="15.75" customHeight="1">
      <c r="A29" s="1"/>
      <c r="B29" s="70" t="s">
        <v>53</v>
      </c>
      <c r="C29" s="71" t="str">
        <f t="shared" si="11"/>
        <v>$</v>
      </c>
      <c r="D29" s="72">
        <f>SUM(D26:D28)</f>
        <v>3100</v>
      </c>
      <c r="E29" s="71" t="str">
        <f t="shared" si="12"/>
        <v>$</v>
      </c>
      <c r="F29" s="73">
        <f>SUM(F26:F28)</f>
        <v>2450</v>
      </c>
      <c r="G29" s="1"/>
      <c r="H29" s="43" t="b">
        <v>0</v>
      </c>
      <c r="I29" s="44" t="s">
        <v>54</v>
      </c>
      <c r="J29" s="8" t="str">
        <f t="shared" si="2"/>
        <v>$</v>
      </c>
      <c r="K29" s="45">
        <v>2</v>
      </c>
      <c r="L29" s="8" t="str">
        <f t="shared" si="3"/>
        <v>$</v>
      </c>
      <c r="M29" s="46">
        <v>100</v>
      </c>
      <c r="N29" s="43" t="str">
        <f t="shared" si="4"/>
        <v>$</v>
      </c>
      <c r="O29" s="47">
        <v>150</v>
      </c>
      <c r="P29" s="1"/>
      <c r="Q29" s="48" t="b">
        <v>0</v>
      </c>
      <c r="R29" s="49"/>
      <c r="S29" s="50" t="str">
        <f t="shared" si="5"/>
        <v>$</v>
      </c>
      <c r="T29" s="76"/>
      <c r="U29" s="50" t="str">
        <f t="shared" si="6"/>
        <v>$</v>
      </c>
      <c r="V29" s="76"/>
      <c r="W29" s="52" t="str">
        <f t="shared" si="7"/>
        <v>$</v>
      </c>
      <c r="X29" s="77"/>
      <c r="Y29" s="1"/>
      <c r="Z29" s="54" t="b">
        <v>0</v>
      </c>
      <c r="AA29" s="69"/>
      <c r="AB29" s="50"/>
      <c r="AC29" s="32" t="str">
        <f t="shared" si="9"/>
        <v>$</v>
      </c>
      <c r="AD29" s="74"/>
      <c r="AE29" s="41" t="str">
        <f t="shared" si="10"/>
        <v>$</v>
      </c>
      <c r="AF29" s="75"/>
      <c r="AG29" s="2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5.75" customHeight="1">
      <c r="A30" s="1"/>
      <c r="B30" s="1"/>
      <c r="C30" s="1"/>
      <c r="D30" s="1"/>
      <c r="E30" s="1"/>
      <c r="F30" s="1"/>
      <c r="G30" s="1"/>
      <c r="H30" s="43" t="b">
        <v>0</v>
      </c>
      <c r="I30" s="78"/>
      <c r="J30" s="8" t="str">
        <f t="shared" si="2"/>
        <v>$</v>
      </c>
      <c r="K30" s="8"/>
      <c r="L30" s="8" t="str">
        <f t="shared" si="3"/>
        <v>$</v>
      </c>
      <c r="M30" s="8"/>
      <c r="N30" s="43" t="str">
        <f t="shared" si="4"/>
        <v>$</v>
      </c>
      <c r="O30" s="43"/>
      <c r="P30" s="1"/>
      <c r="Q30" s="48" t="b">
        <v>0</v>
      </c>
      <c r="R30" s="49"/>
      <c r="S30" s="50" t="str">
        <f t="shared" si="5"/>
        <v>$</v>
      </c>
      <c r="T30" s="76"/>
      <c r="U30" s="50" t="str">
        <f t="shared" si="6"/>
        <v>$</v>
      </c>
      <c r="V30" s="76"/>
      <c r="W30" s="52" t="str">
        <f t="shared" si="7"/>
        <v>$</v>
      </c>
      <c r="X30" s="77"/>
      <c r="Y30" s="1"/>
      <c r="Z30" s="54" t="b">
        <v>0</v>
      </c>
      <c r="AA30" s="69"/>
      <c r="AB30" s="50"/>
      <c r="AC30" s="32" t="str">
        <f t="shared" si="9"/>
        <v>$</v>
      </c>
      <c r="AD30" s="74"/>
      <c r="AE30" s="41" t="str">
        <f t="shared" si="10"/>
        <v>$</v>
      </c>
      <c r="AF30" s="75"/>
      <c r="AG30" s="2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5.75" customHeight="1">
      <c r="A31" s="1"/>
      <c r="B31" s="172" t="s">
        <v>55</v>
      </c>
      <c r="C31" s="140"/>
      <c r="D31" s="140"/>
      <c r="E31" s="140"/>
      <c r="F31" s="152"/>
      <c r="G31" s="1"/>
      <c r="H31" s="43" t="b">
        <v>0</v>
      </c>
      <c r="I31" s="78"/>
      <c r="J31" s="8" t="str">
        <f t="shared" si="2"/>
        <v>$</v>
      </c>
      <c r="K31" s="8"/>
      <c r="L31" s="8" t="str">
        <f t="shared" si="3"/>
        <v>$</v>
      </c>
      <c r="M31" s="8"/>
      <c r="N31" s="43" t="str">
        <f t="shared" si="4"/>
        <v>$</v>
      </c>
      <c r="O31" s="43"/>
      <c r="P31" s="1"/>
      <c r="Q31" s="48" t="b">
        <v>0</v>
      </c>
      <c r="R31" s="79"/>
      <c r="S31" s="50" t="str">
        <f t="shared" si="5"/>
        <v>$</v>
      </c>
      <c r="T31" s="76"/>
      <c r="U31" s="50" t="str">
        <f t="shared" si="6"/>
        <v>$</v>
      </c>
      <c r="V31" s="76"/>
      <c r="W31" s="52" t="str">
        <f t="shared" si="7"/>
        <v>$</v>
      </c>
      <c r="X31" s="77"/>
      <c r="Y31" s="1"/>
      <c r="Z31" s="61" t="b">
        <v>0</v>
      </c>
      <c r="AA31" s="69"/>
      <c r="AB31" s="50"/>
      <c r="AC31" s="32" t="str">
        <f t="shared" si="9"/>
        <v>$</v>
      </c>
      <c r="AD31" s="74"/>
      <c r="AE31" s="41" t="str">
        <f t="shared" si="10"/>
        <v>$</v>
      </c>
      <c r="AF31" s="75"/>
      <c r="AG31" s="2"/>
      <c r="AH31" s="1"/>
      <c r="AI31" s="1"/>
      <c r="AJ31" s="1"/>
      <c r="AK31" s="1"/>
      <c r="AL31" s="1"/>
      <c r="AM31" s="1"/>
      <c r="AN31" s="1"/>
      <c r="AO31" s="1"/>
      <c r="AP31" s="1"/>
    </row>
    <row r="32" spans="1:42" ht="15.75" customHeight="1">
      <c r="A32" s="1"/>
      <c r="B32" s="80" t="s">
        <v>19</v>
      </c>
      <c r="C32" s="173" t="s">
        <v>12</v>
      </c>
      <c r="D32" s="140"/>
      <c r="E32" s="173" t="s">
        <v>13</v>
      </c>
      <c r="F32" s="152"/>
      <c r="G32" s="1"/>
      <c r="H32" s="43" t="b">
        <v>0</v>
      </c>
      <c r="I32" s="78"/>
      <c r="J32" s="8" t="str">
        <f t="shared" si="2"/>
        <v>$</v>
      </c>
      <c r="K32" s="8"/>
      <c r="L32" s="8" t="str">
        <f t="shared" si="3"/>
        <v>$</v>
      </c>
      <c r="M32" s="8"/>
      <c r="N32" s="43" t="str">
        <f t="shared" si="4"/>
        <v>$</v>
      </c>
      <c r="O32" s="43"/>
      <c r="P32" s="1"/>
      <c r="Q32" s="48" t="b">
        <v>0</v>
      </c>
      <c r="R32" s="79"/>
      <c r="S32" s="50" t="str">
        <f t="shared" si="5"/>
        <v>$</v>
      </c>
      <c r="T32" s="76"/>
      <c r="U32" s="50" t="str">
        <f t="shared" si="6"/>
        <v>$</v>
      </c>
      <c r="V32" s="76"/>
      <c r="W32" s="52" t="str">
        <f t="shared" si="7"/>
        <v>$</v>
      </c>
      <c r="X32" s="77"/>
      <c r="Y32" s="81"/>
      <c r="Z32" s="61" t="b">
        <v>0</v>
      </c>
      <c r="AA32" s="69"/>
      <c r="AB32" s="50"/>
      <c r="AC32" s="32" t="str">
        <f t="shared" si="9"/>
        <v>$</v>
      </c>
      <c r="AD32" s="74"/>
      <c r="AE32" s="41" t="str">
        <f t="shared" si="10"/>
        <v>$</v>
      </c>
      <c r="AF32" s="75"/>
      <c r="AG32" s="2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5.75" customHeight="1">
      <c r="A33" s="1"/>
      <c r="B33" s="82" t="s">
        <v>56</v>
      </c>
      <c r="C33" s="83" t="str">
        <f t="shared" ref="C33:C35" si="13">$C$10</f>
        <v>$</v>
      </c>
      <c r="D33" s="84">
        <v>1000</v>
      </c>
      <c r="E33" s="85" t="str">
        <f t="shared" ref="E33:E35" si="14">$C$10</f>
        <v>$</v>
      </c>
      <c r="F33" s="86">
        <v>400</v>
      </c>
      <c r="G33" s="1"/>
      <c r="H33" s="43" t="b">
        <v>0</v>
      </c>
      <c r="I33" s="78"/>
      <c r="J33" s="8" t="str">
        <f t="shared" si="2"/>
        <v>$</v>
      </c>
      <c r="K33" s="8"/>
      <c r="L33" s="8" t="str">
        <f t="shared" si="3"/>
        <v>$</v>
      </c>
      <c r="M33" s="8"/>
      <c r="N33" s="43" t="str">
        <f t="shared" si="4"/>
        <v>$</v>
      </c>
      <c r="O33" s="43"/>
      <c r="P33" s="1"/>
      <c r="Q33" s="48" t="b">
        <v>0</v>
      </c>
      <c r="R33" s="79"/>
      <c r="S33" s="50" t="str">
        <f t="shared" si="5"/>
        <v>$</v>
      </c>
      <c r="T33" s="76"/>
      <c r="U33" s="50" t="str">
        <f t="shared" si="6"/>
        <v>$</v>
      </c>
      <c r="V33" s="76"/>
      <c r="W33" s="52" t="str">
        <f t="shared" si="7"/>
        <v>$</v>
      </c>
      <c r="X33" s="77"/>
      <c r="Y33" s="81"/>
      <c r="Z33" s="61" t="b">
        <v>0</v>
      </c>
      <c r="AA33" s="69"/>
      <c r="AB33" s="50"/>
      <c r="AC33" s="32" t="str">
        <f t="shared" si="9"/>
        <v>$</v>
      </c>
      <c r="AD33" s="74"/>
      <c r="AE33" s="41" t="str">
        <f t="shared" si="10"/>
        <v>$</v>
      </c>
      <c r="AF33" s="75"/>
      <c r="AG33" s="2"/>
      <c r="AH33" s="1"/>
      <c r="AI33" s="1"/>
      <c r="AJ33" s="1"/>
      <c r="AK33" s="1"/>
      <c r="AL33" s="1"/>
      <c r="AM33" s="1"/>
      <c r="AN33" s="1"/>
      <c r="AO33" s="1"/>
      <c r="AP33" s="1"/>
    </row>
    <row r="34" spans="1:42" ht="15.75" customHeight="1">
      <c r="A34" s="1"/>
      <c r="B34" s="87" t="s">
        <v>57</v>
      </c>
      <c r="C34" s="88" t="str">
        <f t="shared" si="13"/>
        <v>$</v>
      </c>
      <c r="D34" s="89">
        <v>500</v>
      </c>
      <c r="E34" s="90" t="str">
        <f t="shared" si="14"/>
        <v>$</v>
      </c>
      <c r="F34" s="91">
        <v>200</v>
      </c>
      <c r="G34" s="1"/>
      <c r="H34" s="43" t="b">
        <v>0</v>
      </c>
      <c r="I34" s="78"/>
      <c r="J34" s="8" t="str">
        <f t="shared" si="2"/>
        <v>$</v>
      </c>
      <c r="K34" s="8"/>
      <c r="L34" s="8" t="str">
        <f t="shared" si="3"/>
        <v>$</v>
      </c>
      <c r="M34" s="8"/>
      <c r="N34" s="43" t="str">
        <f t="shared" si="4"/>
        <v>$</v>
      </c>
      <c r="O34" s="43"/>
      <c r="P34" s="1"/>
      <c r="Q34" s="48" t="b">
        <v>0</v>
      </c>
      <c r="R34" s="79"/>
      <c r="S34" s="50" t="str">
        <f t="shared" si="5"/>
        <v>$</v>
      </c>
      <c r="T34" s="76"/>
      <c r="U34" s="50" t="str">
        <f t="shared" si="6"/>
        <v>$</v>
      </c>
      <c r="V34" s="76"/>
      <c r="W34" s="52" t="str">
        <f t="shared" si="7"/>
        <v>$</v>
      </c>
      <c r="X34" s="77"/>
      <c r="Y34" s="81"/>
      <c r="Z34" s="61" t="b">
        <v>0</v>
      </c>
      <c r="AA34" s="69"/>
      <c r="AB34" s="50"/>
      <c r="AC34" s="32" t="str">
        <f t="shared" si="9"/>
        <v>$</v>
      </c>
      <c r="AD34" s="74"/>
      <c r="AE34" s="41" t="str">
        <f t="shared" si="10"/>
        <v>$</v>
      </c>
      <c r="AF34" s="13"/>
      <c r="AG34" s="2"/>
      <c r="AH34" s="1"/>
      <c r="AI34" s="1"/>
      <c r="AJ34" s="1"/>
      <c r="AK34" s="1"/>
      <c r="AL34" s="1"/>
      <c r="AM34" s="1"/>
      <c r="AN34" s="1"/>
      <c r="AO34" s="1"/>
      <c r="AP34" s="1"/>
    </row>
    <row r="35" spans="1:42" ht="15.75" customHeight="1">
      <c r="A35" s="1"/>
      <c r="B35" s="87" t="s">
        <v>58</v>
      </c>
      <c r="C35" s="88" t="str">
        <f t="shared" si="13"/>
        <v>$</v>
      </c>
      <c r="D35" s="89">
        <v>300</v>
      </c>
      <c r="E35" s="90" t="str">
        <f t="shared" si="14"/>
        <v>$</v>
      </c>
      <c r="F35" s="91">
        <v>250</v>
      </c>
      <c r="G35" s="1"/>
      <c r="H35" s="43" t="b">
        <v>0</v>
      </c>
      <c r="I35" s="78"/>
      <c r="J35" s="8" t="str">
        <f t="shared" si="2"/>
        <v>$</v>
      </c>
      <c r="K35" s="8"/>
      <c r="L35" s="8" t="str">
        <f t="shared" si="3"/>
        <v>$</v>
      </c>
      <c r="M35" s="8"/>
      <c r="N35" s="43" t="str">
        <f t="shared" si="4"/>
        <v>$</v>
      </c>
      <c r="O35" s="43"/>
      <c r="P35" s="1"/>
      <c r="Q35" s="48" t="b">
        <v>0</v>
      </c>
      <c r="R35" s="79"/>
      <c r="S35" s="50" t="str">
        <f t="shared" si="5"/>
        <v>$</v>
      </c>
      <c r="T35" s="76"/>
      <c r="U35" s="50" t="str">
        <f t="shared" si="6"/>
        <v>$</v>
      </c>
      <c r="V35" s="76"/>
      <c r="W35" s="52" t="str">
        <f t="shared" si="7"/>
        <v>$</v>
      </c>
      <c r="X35" s="77"/>
      <c r="Y35" s="81"/>
      <c r="Z35" s="61" t="b">
        <v>0</v>
      </c>
      <c r="AA35" s="69"/>
      <c r="AB35" s="50"/>
      <c r="AC35" s="32" t="str">
        <f t="shared" si="9"/>
        <v>$</v>
      </c>
      <c r="AD35" s="74"/>
      <c r="AE35" s="41" t="str">
        <f t="shared" si="10"/>
        <v>$</v>
      </c>
      <c r="AF35" s="13"/>
      <c r="AG35" s="2"/>
      <c r="AH35" s="1"/>
      <c r="AI35" s="1"/>
      <c r="AJ35" s="1"/>
      <c r="AK35" s="1"/>
      <c r="AL35" s="1"/>
      <c r="AM35" s="1"/>
      <c r="AN35" s="1"/>
      <c r="AO35" s="1"/>
      <c r="AP35" s="1"/>
    </row>
    <row r="36" spans="1:42" ht="15.75" customHeight="1">
      <c r="A36" s="1"/>
      <c r="B36" s="92"/>
      <c r="C36" s="1"/>
      <c r="D36" s="1"/>
      <c r="E36" s="1"/>
      <c r="F36" s="1"/>
      <c r="G36" s="1"/>
      <c r="H36" s="43" t="b">
        <v>0</v>
      </c>
      <c r="I36" s="78"/>
      <c r="J36" s="8" t="str">
        <f t="shared" si="2"/>
        <v>$</v>
      </c>
      <c r="K36" s="8"/>
      <c r="L36" s="8" t="str">
        <f t="shared" si="3"/>
        <v>$</v>
      </c>
      <c r="M36" s="8"/>
      <c r="N36" s="43" t="str">
        <f t="shared" si="4"/>
        <v>$</v>
      </c>
      <c r="O36" s="43"/>
      <c r="P36" s="1"/>
      <c r="Q36" s="48" t="b">
        <v>0</v>
      </c>
      <c r="R36" s="79"/>
      <c r="S36" s="50" t="str">
        <f t="shared" si="5"/>
        <v>$</v>
      </c>
      <c r="T36" s="76"/>
      <c r="U36" s="50" t="str">
        <f t="shared" si="6"/>
        <v>$</v>
      </c>
      <c r="V36" s="76"/>
      <c r="W36" s="52" t="str">
        <f t="shared" si="7"/>
        <v>$</v>
      </c>
      <c r="X36" s="77"/>
      <c r="Y36" s="81"/>
      <c r="Z36" s="61" t="b">
        <v>0</v>
      </c>
      <c r="AA36" s="69"/>
      <c r="AB36" s="50"/>
      <c r="AC36" s="32" t="str">
        <f t="shared" si="9"/>
        <v>$</v>
      </c>
      <c r="AD36" s="74"/>
      <c r="AE36" s="41" t="str">
        <f t="shared" si="10"/>
        <v>$</v>
      </c>
      <c r="AF36" s="13"/>
      <c r="AG36" s="2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5.75" customHeight="1">
      <c r="A37" s="1"/>
      <c r="B37" s="58"/>
      <c r="G37" s="1"/>
      <c r="H37" s="93" t="b">
        <v>0</v>
      </c>
      <c r="I37" s="94"/>
      <c r="J37" s="95" t="str">
        <f t="shared" si="2"/>
        <v>$</v>
      </c>
      <c r="K37" s="95"/>
      <c r="L37" s="95" t="str">
        <f t="shared" si="3"/>
        <v>$</v>
      </c>
      <c r="M37" s="95"/>
      <c r="N37" s="93" t="str">
        <f t="shared" si="4"/>
        <v>$</v>
      </c>
      <c r="O37" s="93"/>
      <c r="P37" s="1"/>
      <c r="Q37" s="60" t="b">
        <v>0</v>
      </c>
      <c r="R37" s="96"/>
      <c r="S37" s="97" t="str">
        <f t="shared" si="5"/>
        <v>$</v>
      </c>
      <c r="T37" s="98"/>
      <c r="U37" s="97" t="str">
        <f t="shared" si="6"/>
        <v>$</v>
      </c>
      <c r="V37" s="98"/>
      <c r="W37" s="99" t="str">
        <f t="shared" si="7"/>
        <v>$</v>
      </c>
      <c r="X37" s="100"/>
      <c r="Y37" s="81"/>
      <c r="Z37" s="54" t="b">
        <v>0</v>
      </c>
      <c r="AA37" s="69"/>
      <c r="AB37" s="50"/>
      <c r="AC37" s="32" t="str">
        <f t="shared" si="9"/>
        <v>$</v>
      </c>
      <c r="AD37" s="74"/>
      <c r="AE37" s="41" t="str">
        <f t="shared" si="10"/>
        <v>$</v>
      </c>
      <c r="AF37" s="13"/>
      <c r="AG37" s="2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5.75" customHeight="1">
      <c r="A38" s="1"/>
      <c r="B38" s="174" t="s">
        <v>59</v>
      </c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8"/>
      <c r="Z38" s="3"/>
      <c r="AA38" s="3"/>
      <c r="AB38" s="3"/>
      <c r="AC38" s="81"/>
      <c r="AD38" s="81"/>
      <c r="AE38" s="81"/>
      <c r="AF38" s="81"/>
      <c r="AG38" s="2"/>
      <c r="AH38" s="1"/>
      <c r="AI38" s="1"/>
      <c r="AJ38" s="1"/>
      <c r="AK38" s="1"/>
      <c r="AL38" s="1"/>
      <c r="AM38" s="1"/>
      <c r="AN38" s="1"/>
      <c r="AO38" s="1"/>
      <c r="AP38" s="1"/>
    </row>
    <row r="39" spans="1:42" ht="15.75" customHeight="1">
      <c r="A39" s="1"/>
      <c r="B39" s="101" t="s">
        <v>60</v>
      </c>
      <c r="C39" s="175" t="s">
        <v>61</v>
      </c>
      <c r="D39" s="140"/>
      <c r="E39" s="102"/>
      <c r="F39" s="102" t="s">
        <v>19</v>
      </c>
      <c r="G39" s="175" t="s">
        <v>62</v>
      </c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52"/>
      <c r="Z39" s="1"/>
      <c r="AA39" s="1"/>
      <c r="AB39" s="1"/>
      <c r="AC39" s="81"/>
      <c r="AD39" s="81"/>
      <c r="AE39" s="81"/>
      <c r="AF39" s="81"/>
      <c r="AG39" s="2"/>
      <c r="AH39" s="1"/>
      <c r="AI39" s="1"/>
      <c r="AJ39" s="1"/>
      <c r="AK39" s="1"/>
      <c r="AL39" s="1"/>
      <c r="AM39" s="1"/>
      <c r="AN39" s="1"/>
      <c r="AO39" s="1"/>
      <c r="AP39" s="1"/>
    </row>
    <row r="40" spans="1:42" ht="15.75" customHeight="1">
      <c r="A40" s="1"/>
      <c r="B40" s="103">
        <v>46023</v>
      </c>
      <c r="C40" s="104" t="str">
        <f t="shared" ref="C40:C60" si="15">$C$10</f>
        <v>$</v>
      </c>
      <c r="D40" s="105">
        <f t="shared" ref="D40:D60" si="16">V19</f>
        <v>12</v>
      </c>
      <c r="E40" s="176" t="str">
        <f t="shared" ref="E40:E60" si="17">R19</f>
        <v>Netflix</v>
      </c>
      <c r="F40" s="145"/>
      <c r="G40" s="176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06"/>
      <c r="AA40" s="1"/>
      <c r="AB40" s="1"/>
      <c r="AC40" s="81"/>
      <c r="AD40" s="81"/>
      <c r="AE40" s="81"/>
      <c r="AF40" s="81"/>
      <c r="AG40" s="2"/>
      <c r="AH40" s="1"/>
      <c r="AI40" s="1"/>
      <c r="AJ40" s="1"/>
      <c r="AK40" s="1"/>
      <c r="AL40" s="1"/>
    </row>
    <row r="41" spans="1:42" ht="15.75" customHeight="1">
      <c r="A41" s="1"/>
      <c r="B41" s="107">
        <v>46024</v>
      </c>
      <c r="C41" s="108" t="str">
        <f t="shared" si="15"/>
        <v>$</v>
      </c>
      <c r="D41" s="109">
        <f t="shared" si="16"/>
        <v>10</v>
      </c>
      <c r="E41" s="128" t="str">
        <f t="shared" si="17"/>
        <v>Spotify</v>
      </c>
      <c r="F41" s="129"/>
      <c r="G41" s="135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06"/>
      <c r="AA41" s="1"/>
      <c r="AB41" s="1"/>
      <c r="AC41" s="81"/>
      <c r="AD41" s="81"/>
      <c r="AE41" s="81"/>
      <c r="AF41" s="81"/>
      <c r="AG41" s="2"/>
      <c r="AH41" s="1"/>
    </row>
    <row r="42" spans="1:42" ht="15.75" customHeight="1">
      <c r="A42" s="1"/>
      <c r="B42" s="107">
        <v>46025</v>
      </c>
      <c r="C42" s="108" t="str">
        <f t="shared" si="15"/>
        <v>$</v>
      </c>
      <c r="D42" s="109">
        <f t="shared" si="16"/>
        <v>30</v>
      </c>
      <c r="E42" s="128" t="str">
        <f t="shared" si="17"/>
        <v>Coffee</v>
      </c>
      <c r="F42" s="129"/>
      <c r="G42" s="135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06"/>
      <c r="AA42" s="1"/>
      <c r="AB42" s="1"/>
      <c r="AC42" s="81"/>
      <c r="AD42" s="81"/>
      <c r="AE42" s="81"/>
      <c r="AF42" s="81"/>
      <c r="AG42" s="2"/>
      <c r="AH42" s="1"/>
    </row>
    <row r="43" spans="1:42" ht="15.75" customHeight="1">
      <c r="A43" s="1"/>
      <c r="B43" s="107">
        <v>46026</v>
      </c>
      <c r="C43" s="108" t="str">
        <f t="shared" si="15"/>
        <v>$</v>
      </c>
      <c r="D43" s="109">
        <f t="shared" si="16"/>
        <v>60</v>
      </c>
      <c r="E43" s="128" t="str">
        <f t="shared" si="17"/>
        <v>Drinks</v>
      </c>
      <c r="F43" s="129"/>
      <c r="G43" s="135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06"/>
      <c r="AA43" s="1"/>
      <c r="AB43" s="1"/>
      <c r="AC43" s="81"/>
      <c r="AD43" s="81"/>
      <c r="AE43" s="81"/>
      <c r="AF43" s="81"/>
      <c r="AG43" s="2"/>
      <c r="AH43" s="1"/>
    </row>
    <row r="44" spans="1:42" ht="15.75" customHeight="1">
      <c r="A44" s="1"/>
      <c r="B44" s="107">
        <v>46027</v>
      </c>
      <c r="C44" s="108" t="str">
        <f t="shared" si="15"/>
        <v>$</v>
      </c>
      <c r="D44" s="109">
        <f t="shared" si="16"/>
        <v>100</v>
      </c>
      <c r="E44" s="128" t="str">
        <f t="shared" si="17"/>
        <v>Eating out</v>
      </c>
      <c r="F44" s="129"/>
      <c r="G44" s="135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06"/>
      <c r="AA44" s="1"/>
      <c r="AB44" s="1"/>
      <c r="AG44" s="2"/>
      <c r="AH44" s="1"/>
    </row>
    <row r="45" spans="1:42" ht="15.75" customHeight="1">
      <c r="A45" s="1"/>
      <c r="B45" s="107">
        <v>46028</v>
      </c>
      <c r="C45" s="108" t="str">
        <f t="shared" si="15"/>
        <v>$</v>
      </c>
      <c r="D45" s="109">
        <f t="shared" si="16"/>
        <v>50</v>
      </c>
      <c r="E45" s="128" t="str">
        <f t="shared" si="17"/>
        <v>Gifts</v>
      </c>
      <c r="F45" s="129"/>
      <c r="G45" s="135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06"/>
      <c r="AA45" s="1"/>
      <c r="AB45" s="1"/>
      <c r="AG45" s="2"/>
      <c r="AH45" s="1"/>
    </row>
    <row r="46" spans="1:42" ht="15.75" customHeight="1">
      <c r="A46" s="1"/>
      <c r="B46" s="107">
        <v>46029</v>
      </c>
      <c r="C46" s="108" t="str">
        <f t="shared" si="15"/>
        <v>$</v>
      </c>
      <c r="D46" s="109">
        <f t="shared" si="16"/>
        <v>150</v>
      </c>
      <c r="E46" s="128" t="str">
        <f t="shared" si="17"/>
        <v>Entertainment</v>
      </c>
      <c r="F46" s="129"/>
      <c r="G46" s="135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06"/>
      <c r="AA46" s="1"/>
      <c r="AB46" s="1"/>
      <c r="AG46" s="2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5.75" customHeight="1">
      <c r="A47" s="1"/>
      <c r="B47" s="107">
        <v>46030</v>
      </c>
      <c r="C47" s="108" t="str">
        <f t="shared" si="15"/>
        <v>$</v>
      </c>
      <c r="D47" s="109">
        <f t="shared" si="16"/>
        <v>40</v>
      </c>
      <c r="E47" s="128" t="str">
        <f t="shared" si="17"/>
        <v>Clothes</v>
      </c>
      <c r="F47" s="129"/>
      <c r="G47" s="135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06"/>
      <c r="AA47" s="1"/>
      <c r="AB47" s="1"/>
      <c r="AG47" s="2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5.75" customHeight="1">
      <c r="A48" s="1"/>
      <c r="B48" s="107">
        <v>46031</v>
      </c>
      <c r="C48" s="108" t="str">
        <f t="shared" si="15"/>
        <v>$</v>
      </c>
      <c r="D48" s="109">
        <f t="shared" si="16"/>
        <v>75</v>
      </c>
      <c r="E48" s="128" t="str">
        <f t="shared" si="17"/>
        <v>Beauty</v>
      </c>
      <c r="F48" s="129"/>
      <c r="G48" s="135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06"/>
      <c r="AA48" s="1"/>
      <c r="AB48" s="1"/>
      <c r="AG48" s="2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5.75" customHeight="1">
      <c r="A49" s="1"/>
      <c r="B49" s="107">
        <v>46032</v>
      </c>
      <c r="C49" s="108" t="str">
        <f t="shared" si="15"/>
        <v>$</v>
      </c>
      <c r="D49" s="109">
        <f t="shared" si="16"/>
        <v>0</v>
      </c>
      <c r="E49" s="128">
        <f t="shared" si="17"/>
        <v>0</v>
      </c>
      <c r="F49" s="129"/>
      <c r="G49" s="135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06"/>
      <c r="AA49" s="1"/>
      <c r="AB49" s="1"/>
      <c r="AG49" s="2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5.75" customHeight="1">
      <c r="A50" s="1"/>
      <c r="B50" s="107">
        <v>46033</v>
      </c>
      <c r="C50" s="108" t="str">
        <f t="shared" si="15"/>
        <v>$</v>
      </c>
      <c r="D50" s="109">
        <f t="shared" si="16"/>
        <v>0</v>
      </c>
      <c r="E50" s="128">
        <f t="shared" si="17"/>
        <v>0</v>
      </c>
      <c r="F50" s="129"/>
      <c r="G50" s="135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6" t="s">
        <v>63</v>
      </c>
      <c r="AA50" s="137"/>
      <c r="AB50" s="137"/>
      <c r="AC50" s="137"/>
      <c r="AD50" s="137"/>
      <c r="AE50" s="137"/>
      <c r="AF50" s="138"/>
      <c r="AG50" s="2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5.75" customHeight="1">
      <c r="A51" s="1"/>
      <c r="B51" s="107">
        <v>46034</v>
      </c>
      <c r="C51" s="108" t="str">
        <f t="shared" si="15"/>
        <v>$</v>
      </c>
      <c r="D51" s="109">
        <f t="shared" si="16"/>
        <v>0</v>
      </c>
      <c r="E51" s="128">
        <f t="shared" si="17"/>
        <v>0</v>
      </c>
      <c r="F51" s="129"/>
      <c r="G51" s="135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9" t="s">
        <v>19</v>
      </c>
      <c r="AA51" s="140"/>
      <c r="AB51" s="140"/>
      <c r="AC51" s="141" t="s">
        <v>61</v>
      </c>
      <c r="AD51" s="140"/>
      <c r="AE51" s="141" t="s">
        <v>64</v>
      </c>
      <c r="AF51" s="152"/>
      <c r="AG51" s="2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5.75" customHeight="1">
      <c r="A52" s="1"/>
      <c r="B52" s="107">
        <v>46035</v>
      </c>
      <c r="C52" s="108" t="str">
        <f t="shared" si="15"/>
        <v>$</v>
      </c>
      <c r="D52" s="109">
        <f t="shared" si="16"/>
        <v>0</v>
      </c>
      <c r="E52" s="128">
        <f t="shared" si="17"/>
        <v>0</v>
      </c>
      <c r="F52" s="129"/>
      <c r="G52" s="135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42" t="str">
        <f t="shared" ref="Z52:Z60" si="18">AA72</f>
        <v>Entertainment</v>
      </c>
      <c r="AA52" s="143"/>
      <c r="AB52" s="143"/>
      <c r="AC52" s="110" t="str">
        <f t="shared" ref="AC52:AC60" si="19">$C$10</f>
        <v>$</v>
      </c>
      <c r="AD52" s="111">
        <f t="shared" ref="AD52:AD60" si="20">AE72</f>
        <v>150</v>
      </c>
      <c r="AE52" s="144">
        <f t="shared" ref="AE52:AE60" si="21">AD52/SUM($AD$52:$AD$60)</f>
        <v>0.28462998102466791</v>
      </c>
      <c r="AF52" s="145"/>
      <c r="AG52" s="2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5.75" customHeight="1">
      <c r="A53" s="1"/>
      <c r="B53" s="107">
        <v>46036</v>
      </c>
      <c r="C53" s="108" t="str">
        <f t="shared" si="15"/>
        <v>$</v>
      </c>
      <c r="D53" s="109">
        <f t="shared" si="16"/>
        <v>0</v>
      </c>
      <c r="E53" s="128">
        <f t="shared" si="17"/>
        <v>0</v>
      </c>
      <c r="F53" s="129"/>
      <c r="G53" s="135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42" t="str">
        <f t="shared" si="18"/>
        <v>Eating out</v>
      </c>
      <c r="AA53" s="143"/>
      <c r="AB53" s="143"/>
      <c r="AC53" s="112" t="str">
        <f t="shared" si="19"/>
        <v>$</v>
      </c>
      <c r="AD53" s="111">
        <f t="shared" si="20"/>
        <v>100</v>
      </c>
      <c r="AE53" s="144">
        <f t="shared" si="21"/>
        <v>0.18975332068311196</v>
      </c>
      <c r="AF53" s="145"/>
      <c r="AG53" s="2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5.75" customHeight="1">
      <c r="A54" s="1"/>
      <c r="B54" s="107">
        <v>46037</v>
      </c>
      <c r="C54" s="108" t="str">
        <f t="shared" si="15"/>
        <v>$</v>
      </c>
      <c r="D54" s="109">
        <f t="shared" si="16"/>
        <v>0</v>
      </c>
      <c r="E54" s="128">
        <f t="shared" si="17"/>
        <v>0</v>
      </c>
      <c r="F54" s="129"/>
      <c r="G54" s="135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42" t="str">
        <f t="shared" si="18"/>
        <v>Beauty</v>
      </c>
      <c r="AA54" s="143"/>
      <c r="AB54" s="143"/>
      <c r="AC54" s="112" t="str">
        <f t="shared" si="19"/>
        <v>$</v>
      </c>
      <c r="AD54" s="111">
        <f t="shared" si="20"/>
        <v>75</v>
      </c>
      <c r="AE54" s="144">
        <f t="shared" si="21"/>
        <v>0.14231499051233396</v>
      </c>
      <c r="AF54" s="145"/>
      <c r="AG54" s="2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5.75" customHeight="1">
      <c r="A55" s="1"/>
      <c r="B55" s="107">
        <v>46038</v>
      </c>
      <c r="C55" s="108" t="str">
        <f t="shared" si="15"/>
        <v>$</v>
      </c>
      <c r="D55" s="109">
        <f t="shared" si="16"/>
        <v>0</v>
      </c>
      <c r="E55" s="128">
        <f t="shared" si="17"/>
        <v>0</v>
      </c>
      <c r="F55" s="129"/>
      <c r="G55" s="135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42" t="str">
        <f t="shared" si="18"/>
        <v>Drinks</v>
      </c>
      <c r="AA55" s="143"/>
      <c r="AB55" s="143"/>
      <c r="AC55" s="112" t="str">
        <f t="shared" si="19"/>
        <v>$</v>
      </c>
      <c r="AD55" s="111">
        <f t="shared" si="20"/>
        <v>60</v>
      </c>
      <c r="AE55" s="144">
        <f t="shared" si="21"/>
        <v>0.11385199240986717</v>
      </c>
      <c r="AF55" s="145"/>
      <c r="AG55" s="2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5.75" customHeight="1">
      <c r="A56" s="1"/>
      <c r="B56" s="107">
        <v>46039</v>
      </c>
      <c r="C56" s="108" t="str">
        <f t="shared" si="15"/>
        <v>$</v>
      </c>
      <c r="D56" s="109">
        <f t="shared" si="16"/>
        <v>0</v>
      </c>
      <c r="E56" s="128">
        <f t="shared" si="17"/>
        <v>0</v>
      </c>
      <c r="F56" s="129"/>
      <c r="G56" s="135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42" t="str">
        <f t="shared" si="18"/>
        <v>Gifts</v>
      </c>
      <c r="AA56" s="143"/>
      <c r="AB56" s="143"/>
      <c r="AC56" s="112" t="str">
        <f t="shared" si="19"/>
        <v>$</v>
      </c>
      <c r="AD56" s="111">
        <f t="shared" si="20"/>
        <v>50</v>
      </c>
      <c r="AE56" s="144">
        <f t="shared" si="21"/>
        <v>9.4876660341555979E-2</v>
      </c>
      <c r="AF56" s="145"/>
      <c r="AG56" s="2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5.75" customHeight="1">
      <c r="A57" s="1"/>
      <c r="B57" s="107">
        <v>46040</v>
      </c>
      <c r="C57" s="108" t="str">
        <f t="shared" si="15"/>
        <v>$</v>
      </c>
      <c r="D57" s="109">
        <f t="shared" si="16"/>
        <v>0</v>
      </c>
      <c r="E57" s="128">
        <f t="shared" si="17"/>
        <v>0</v>
      </c>
      <c r="F57" s="129"/>
      <c r="G57" s="135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42" t="str">
        <f t="shared" si="18"/>
        <v>Clothes</v>
      </c>
      <c r="AA57" s="143"/>
      <c r="AB57" s="143"/>
      <c r="AC57" s="112" t="str">
        <f t="shared" si="19"/>
        <v>$</v>
      </c>
      <c r="AD57" s="111">
        <f t="shared" si="20"/>
        <v>40</v>
      </c>
      <c r="AE57" s="144">
        <f t="shared" si="21"/>
        <v>7.5901328273244778E-2</v>
      </c>
      <c r="AF57" s="145"/>
      <c r="AG57" s="2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5.75" customHeight="1">
      <c r="A58" s="1"/>
      <c r="B58" s="107">
        <v>46041</v>
      </c>
      <c r="C58" s="108" t="str">
        <f t="shared" si="15"/>
        <v>$</v>
      </c>
      <c r="D58" s="109">
        <f t="shared" si="16"/>
        <v>0</v>
      </c>
      <c r="E58" s="128">
        <f t="shared" si="17"/>
        <v>0</v>
      </c>
      <c r="F58" s="129"/>
      <c r="G58" s="135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42" t="str">
        <f t="shared" si="18"/>
        <v>Coffee</v>
      </c>
      <c r="AA58" s="143"/>
      <c r="AB58" s="143"/>
      <c r="AC58" s="112" t="str">
        <f t="shared" si="19"/>
        <v>$</v>
      </c>
      <c r="AD58" s="111">
        <f t="shared" si="20"/>
        <v>30</v>
      </c>
      <c r="AE58" s="144">
        <f t="shared" si="21"/>
        <v>5.6925996204933584E-2</v>
      </c>
      <c r="AF58" s="145"/>
      <c r="AG58" s="2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5.75" customHeight="1">
      <c r="A59" s="1"/>
      <c r="B59" s="107">
        <v>46042</v>
      </c>
      <c r="C59" s="108" t="str">
        <f t="shared" si="15"/>
        <v>$</v>
      </c>
      <c r="D59" s="113">
        <f t="shared" si="16"/>
        <v>0</v>
      </c>
      <c r="E59" s="128">
        <f t="shared" si="17"/>
        <v>0</v>
      </c>
      <c r="F59" s="129"/>
      <c r="G59" s="135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42" t="str">
        <f t="shared" si="18"/>
        <v>Netflix</v>
      </c>
      <c r="AA59" s="143"/>
      <c r="AB59" s="143"/>
      <c r="AC59" s="112" t="str">
        <f t="shared" si="19"/>
        <v>$</v>
      </c>
      <c r="AD59" s="111">
        <f t="shared" si="20"/>
        <v>12</v>
      </c>
      <c r="AE59" s="144">
        <f t="shared" si="21"/>
        <v>2.2770398481973434E-2</v>
      </c>
      <c r="AF59" s="145"/>
      <c r="AG59" s="2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5.75" customHeight="1">
      <c r="A60" s="1"/>
      <c r="B60" s="114">
        <v>46043</v>
      </c>
      <c r="C60" s="115" t="str">
        <f t="shared" si="15"/>
        <v>$</v>
      </c>
      <c r="D60" s="113">
        <f t="shared" si="16"/>
        <v>0</v>
      </c>
      <c r="E60" s="128">
        <f t="shared" si="17"/>
        <v>0</v>
      </c>
      <c r="F60" s="129"/>
      <c r="G60" s="135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42" t="str">
        <f t="shared" si="18"/>
        <v>Spotify</v>
      </c>
      <c r="AA60" s="143"/>
      <c r="AB60" s="143"/>
      <c r="AC60" s="112" t="str">
        <f t="shared" si="19"/>
        <v>$</v>
      </c>
      <c r="AD60" s="111">
        <f t="shared" si="20"/>
        <v>10</v>
      </c>
      <c r="AE60" s="144">
        <f t="shared" si="21"/>
        <v>1.8975332068311195E-2</v>
      </c>
      <c r="AF60" s="145"/>
      <c r="AG60" s="2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5.75" customHeight="1">
      <c r="A61" s="1"/>
      <c r="B61" s="116"/>
      <c r="C61" s="117"/>
      <c r="D61" s="118"/>
      <c r="E61" s="118"/>
      <c r="F61" s="118"/>
      <c r="G61" s="119"/>
      <c r="H61" s="119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1"/>
      <c r="AG61" s="12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5.75" customHeight="1">
      <c r="A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5.75" customHeight="1">
      <c r="A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5.75" customHeight="1">
      <c r="A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5.75" customHeight="1">
      <c r="A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5.75" customHeight="1">
      <c r="A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5.75" customHeight="1">
      <c r="A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5.75" customHeight="1">
      <c r="A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5.75" customHeight="1">
      <c r="A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5.75" customHeight="1">
      <c r="A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46" t="s">
        <v>15</v>
      </c>
      <c r="AB70" s="147"/>
      <c r="AC70" s="147"/>
      <c r="AD70" s="147"/>
      <c r="AE70" s="147"/>
      <c r="AF70" s="147"/>
      <c r="AG70" s="147"/>
      <c r="AH70" s="16"/>
      <c r="AI70" s="1"/>
      <c r="AJ70" s="1"/>
      <c r="AK70" s="1"/>
      <c r="AL70" s="1"/>
      <c r="AM70" s="1"/>
      <c r="AN70" s="1"/>
      <c r="AO70" s="1"/>
      <c r="AP70" s="1"/>
    </row>
    <row r="71" spans="1:42" ht="15.75" customHeight="1">
      <c r="A71" s="1"/>
      <c r="B71" s="1"/>
      <c r="C71" s="1"/>
      <c r="D71" s="130" t="s">
        <v>65</v>
      </c>
      <c r="E71" s="131"/>
      <c r="F71" s="12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22" t="s">
        <v>19</v>
      </c>
      <c r="AB71" s="148" t="s">
        <v>12</v>
      </c>
      <c r="AC71" s="149"/>
      <c r="AD71" s="148" t="s">
        <v>13</v>
      </c>
      <c r="AE71" s="149"/>
      <c r="AF71" s="150" t="s">
        <v>20</v>
      </c>
      <c r="AG71" s="151"/>
      <c r="AI71" s="1"/>
      <c r="AJ71" s="1"/>
      <c r="AK71" s="1"/>
      <c r="AL71" s="1"/>
      <c r="AM71" s="1"/>
      <c r="AN71" s="1"/>
      <c r="AO71" s="1"/>
      <c r="AP71" s="1"/>
    </row>
    <row r="72" spans="1:42" ht="15.75" customHeight="1">
      <c r="A72" s="1"/>
      <c r="B72" s="1"/>
      <c r="C72" s="1"/>
      <c r="D72" s="130" t="s">
        <v>66</v>
      </c>
      <c r="E72" s="131"/>
      <c r="F72" s="12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 t="s">
        <v>42</v>
      </c>
      <c r="AB72" s="1" t="s">
        <v>9</v>
      </c>
      <c r="AC72" s="123">
        <v>200</v>
      </c>
      <c r="AD72" s="1" t="s">
        <v>9</v>
      </c>
      <c r="AE72" s="123">
        <v>150</v>
      </c>
      <c r="AF72" s="1" t="s">
        <v>9</v>
      </c>
      <c r="AG72" s="123">
        <v>50</v>
      </c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5.75" customHeight="1">
      <c r="A73" s="1"/>
      <c r="B73" s="1"/>
      <c r="C73" s="1"/>
      <c r="D73" s="130" t="s">
        <v>2</v>
      </c>
      <c r="E73" s="131"/>
      <c r="F73" s="129"/>
      <c r="G73" s="1"/>
      <c r="H73" s="130" t="s">
        <v>67</v>
      </c>
      <c r="I73" s="131"/>
      <c r="J73" s="129"/>
      <c r="K73" s="1"/>
      <c r="L73" s="1"/>
      <c r="M73" s="130" t="s">
        <v>68</v>
      </c>
      <c r="N73" s="131"/>
      <c r="O73" s="12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 t="s">
        <v>35</v>
      </c>
      <c r="AB73" s="1" t="s">
        <v>9</v>
      </c>
      <c r="AC73" s="123">
        <v>150</v>
      </c>
      <c r="AD73" s="1" t="s">
        <v>9</v>
      </c>
      <c r="AE73" s="123">
        <v>100</v>
      </c>
      <c r="AF73" s="1" t="s">
        <v>9</v>
      </c>
      <c r="AG73" s="123">
        <v>50</v>
      </c>
      <c r="AH73" s="1"/>
      <c r="AI73" s="1"/>
      <c r="AJ73" s="1"/>
      <c r="AK73" s="1"/>
      <c r="AL73" s="1"/>
      <c r="AM73" s="1"/>
      <c r="AN73" s="1"/>
      <c r="AO73" s="1"/>
    </row>
    <row r="74" spans="1:42" ht="15.75" customHeight="1">
      <c r="A74" s="1"/>
      <c r="B74" s="8" t="s">
        <v>69</v>
      </c>
      <c r="C74" s="1"/>
      <c r="D74" s="132"/>
      <c r="E74" s="133"/>
      <c r="F74" s="133"/>
      <c r="G74" s="1"/>
      <c r="H74" s="69"/>
      <c r="I74" s="8" t="s">
        <v>70</v>
      </c>
      <c r="J74" s="8" t="s">
        <v>71</v>
      </c>
      <c r="K74" s="1"/>
      <c r="L74" s="92"/>
      <c r="M74" s="69"/>
      <c r="N74" s="8" t="s">
        <v>71</v>
      </c>
      <c r="O74" s="78" t="s">
        <v>72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 t="s">
        <v>50</v>
      </c>
      <c r="AB74" s="1" t="s">
        <v>9</v>
      </c>
      <c r="AC74" s="123">
        <v>100</v>
      </c>
      <c r="AD74" s="1" t="s">
        <v>9</v>
      </c>
      <c r="AE74" s="123">
        <v>75</v>
      </c>
      <c r="AF74" s="1" t="s">
        <v>9</v>
      </c>
      <c r="AG74" s="123">
        <v>25</v>
      </c>
      <c r="AH74" s="1"/>
      <c r="AI74" s="1"/>
      <c r="AJ74" s="1"/>
      <c r="AK74" s="1"/>
      <c r="AL74" s="1"/>
      <c r="AM74" s="1"/>
      <c r="AN74" s="1"/>
    </row>
    <row r="75" spans="1:42" ht="15.75" customHeight="1">
      <c r="A75" s="1"/>
      <c r="B75" s="8" t="s">
        <v>73</v>
      </c>
      <c r="C75" s="1"/>
      <c r="D75" s="44" t="s">
        <v>20</v>
      </c>
      <c r="E75" s="134">
        <f>F21</f>
        <v>3198</v>
      </c>
      <c r="F75" s="129"/>
      <c r="G75" s="1"/>
      <c r="H75" s="69" t="s">
        <v>74</v>
      </c>
      <c r="I75" s="124">
        <f t="shared" ref="I75:I78" si="22">D17</f>
        <v>1767</v>
      </c>
      <c r="J75" s="124">
        <f t="shared" ref="J75:J78" si="23">F17</f>
        <v>1465</v>
      </c>
      <c r="K75" s="1"/>
      <c r="L75" s="92"/>
      <c r="M75" s="69" t="s">
        <v>74</v>
      </c>
      <c r="N75" s="124">
        <f t="shared" ref="N75:N78" si="24">F17</f>
        <v>1465</v>
      </c>
      <c r="O75" s="125">
        <f t="shared" ref="O75:O78" si="25">N75/SUM($N$75:$N$78)</f>
        <v>0.43062904174015287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 t="s">
        <v>32</v>
      </c>
      <c r="AB75" s="1" t="s">
        <v>9</v>
      </c>
      <c r="AC75" s="123">
        <v>100</v>
      </c>
      <c r="AD75" s="1" t="s">
        <v>9</v>
      </c>
      <c r="AE75" s="123">
        <v>60</v>
      </c>
      <c r="AF75" s="1" t="s">
        <v>9</v>
      </c>
      <c r="AG75" s="123">
        <v>40</v>
      </c>
      <c r="AH75" s="1"/>
      <c r="AI75" s="1"/>
      <c r="AJ75" s="1"/>
      <c r="AK75" s="1"/>
      <c r="AL75" s="1"/>
      <c r="AM75" s="1"/>
      <c r="AN75" s="1"/>
    </row>
    <row r="76" spans="1:42" ht="15" customHeight="1">
      <c r="A76" s="1"/>
      <c r="B76" s="8" t="s">
        <v>9</v>
      </c>
      <c r="C76" s="126"/>
      <c r="D76" s="44" t="e">
        <f ca="1">_xludf.IFS(I2="LEFT TO SPEND","SPEND",I2="LEFT TO BUDGET","BUDGET")</f>
        <v>#NAME?</v>
      </c>
      <c r="E76" s="134" t="e">
        <f ca="1">_xludf.IFS(D76="BUDGET",D21,D76="SPEND",SUM(AD52:AD60))</f>
        <v>#NAME?</v>
      </c>
      <c r="F76" s="129"/>
      <c r="G76" s="1"/>
      <c r="H76" s="69" t="s">
        <v>75</v>
      </c>
      <c r="I76" s="124">
        <f t="shared" si="22"/>
        <v>919</v>
      </c>
      <c r="J76" s="124">
        <f t="shared" si="23"/>
        <v>527</v>
      </c>
      <c r="K76" s="1"/>
      <c r="L76" s="92"/>
      <c r="M76" s="69" t="s">
        <v>75</v>
      </c>
      <c r="N76" s="124">
        <f t="shared" si="24"/>
        <v>527</v>
      </c>
      <c r="O76" s="125">
        <f t="shared" si="25"/>
        <v>0.15490887713109935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 t="s">
        <v>39</v>
      </c>
      <c r="AB76" s="1" t="s">
        <v>9</v>
      </c>
      <c r="AC76" s="123">
        <v>100</v>
      </c>
      <c r="AD76" s="1" t="s">
        <v>9</v>
      </c>
      <c r="AE76" s="123">
        <v>50</v>
      </c>
      <c r="AF76" s="1" t="s">
        <v>9</v>
      </c>
      <c r="AG76" s="123">
        <v>50</v>
      </c>
      <c r="AH76" s="1"/>
      <c r="AI76" s="1"/>
      <c r="AJ76" s="1"/>
      <c r="AK76" s="1"/>
      <c r="AL76" s="1"/>
      <c r="AM76" s="1"/>
      <c r="AN76" s="1"/>
    </row>
    <row r="77" spans="1:42" ht="15.75" customHeight="1">
      <c r="A77" s="1"/>
      <c r="B77" s="8" t="s">
        <v>76</v>
      </c>
      <c r="C77" s="1"/>
      <c r="D77" s="92"/>
      <c r="E77" s="1"/>
      <c r="F77" s="1"/>
      <c r="G77" s="1"/>
      <c r="H77" s="69" t="s">
        <v>77</v>
      </c>
      <c r="I77" s="124">
        <f t="shared" si="22"/>
        <v>740</v>
      </c>
      <c r="J77" s="124">
        <f t="shared" si="23"/>
        <v>560</v>
      </c>
      <c r="K77" s="1"/>
      <c r="L77" s="92"/>
      <c r="M77" s="69" t="s">
        <v>77</v>
      </c>
      <c r="N77" s="124">
        <f t="shared" si="24"/>
        <v>560</v>
      </c>
      <c r="O77" s="125">
        <f t="shared" si="25"/>
        <v>0.16460905349794239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 t="s">
        <v>46</v>
      </c>
      <c r="AB77" s="1" t="s">
        <v>9</v>
      </c>
      <c r="AC77" s="123">
        <v>150</v>
      </c>
      <c r="AD77" s="1" t="s">
        <v>9</v>
      </c>
      <c r="AE77" s="123">
        <v>40</v>
      </c>
      <c r="AF77" s="1" t="s">
        <v>9</v>
      </c>
      <c r="AG77" s="123">
        <v>110</v>
      </c>
      <c r="AH77" s="1"/>
      <c r="AI77" s="1"/>
      <c r="AJ77" s="1"/>
      <c r="AK77" s="1"/>
      <c r="AL77" s="1"/>
      <c r="AM77" s="1"/>
      <c r="AN77" s="1"/>
    </row>
    <row r="78" spans="1:42" ht="15.75" customHeight="1">
      <c r="A78" s="1"/>
      <c r="B78" s="8" t="s">
        <v>78</v>
      </c>
      <c r="C78" s="1"/>
      <c r="D78" s="4"/>
      <c r="E78" s="1"/>
      <c r="F78" s="1"/>
      <c r="G78" s="1"/>
      <c r="H78" s="69" t="s">
        <v>79</v>
      </c>
      <c r="I78" s="124">
        <f t="shared" si="22"/>
        <v>1800</v>
      </c>
      <c r="J78" s="124">
        <f t="shared" si="23"/>
        <v>850</v>
      </c>
      <c r="K78" s="1"/>
      <c r="M78" s="69" t="s">
        <v>79</v>
      </c>
      <c r="N78" s="124">
        <f t="shared" si="24"/>
        <v>850</v>
      </c>
      <c r="O78" s="125">
        <f t="shared" si="25"/>
        <v>0.24985302763080541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 t="s">
        <v>29</v>
      </c>
      <c r="AB78" s="1" t="s">
        <v>9</v>
      </c>
      <c r="AC78" s="123">
        <v>75</v>
      </c>
      <c r="AD78" s="1" t="s">
        <v>9</v>
      </c>
      <c r="AE78" s="123">
        <v>30</v>
      </c>
      <c r="AF78" s="1" t="s">
        <v>9</v>
      </c>
      <c r="AG78" s="123">
        <v>45</v>
      </c>
      <c r="AH78" s="1"/>
      <c r="AI78" s="1"/>
      <c r="AJ78" s="1"/>
      <c r="AK78" s="1"/>
      <c r="AL78" s="1"/>
      <c r="AM78" s="1"/>
      <c r="AN78" s="1"/>
    </row>
    <row r="79" spans="1:4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 t="s">
        <v>23</v>
      </c>
      <c r="AB79" s="1" t="s">
        <v>9</v>
      </c>
      <c r="AC79" s="123">
        <v>14</v>
      </c>
      <c r="AD79" s="1" t="s">
        <v>9</v>
      </c>
      <c r="AE79" s="123">
        <v>12</v>
      </c>
      <c r="AF79" s="1" t="s">
        <v>9</v>
      </c>
      <c r="AG79" s="123">
        <v>2</v>
      </c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5.75" customHeight="1">
      <c r="A80" s="1"/>
      <c r="C80" s="1"/>
      <c r="D80" s="132"/>
      <c r="E80" s="133"/>
      <c r="F80" s="13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 t="s">
        <v>26</v>
      </c>
      <c r="AB80" s="1" t="s">
        <v>9</v>
      </c>
      <c r="AC80" s="123">
        <v>30</v>
      </c>
      <c r="AD80" s="1" t="s">
        <v>9</v>
      </c>
      <c r="AE80" s="123">
        <v>10</v>
      </c>
      <c r="AF80" s="1" t="s">
        <v>9</v>
      </c>
      <c r="AG80" s="123">
        <v>20</v>
      </c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5.75" customHeight="1">
      <c r="A81" s="1"/>
      <c r="C81" s="1"/>
      <c r="D81" s="130" t="s">
        <v>80</v>
      </c>
      <c r="E81" s="131"/>
      <c r="F81" s="12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 t="s">
        <v>9</v>
      </c>
      <c r="AC81" s="123"/>
      <c r="AD81" s="1" t="s">
        <v>9</v>
      </c>
      <c r="AE81" s="123"/>
      <c r="AF81" s="1" t="s">
        <v>9</v>
      </c>
      <c r="AG81" s="123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5.75" customHeight="1">
      <c r="A82" s="1"/>
      <c r="B82" s="1"/>
      <c r="C82" s="1"/>
      <c r="D82" s="8" t="s">
        <v>19</v>
      </c>
      <c r="E82" s="8" t="s">
        <v>81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 t="s">
        <v>9</v>
      </c>
      <c r="AC82" s="123"/>
      <c r="AD82" s="1" t="s">
        <v>9</v>
      </c>
      <c r="AE82" s="123"/>
      <c r="AF82" s="1" t="s">
        <v>9</v>
      </c>
      <c r="AG82" s="123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5.75" customHeight="1">
      <c r="A83" s="1"/>
      <c r="B83" s="1"/>
      <c r="C83" s="1"/>
      <c r="D83" s="8" t="str">
        <f t="shared" ref="D83:D93" si="26">Z52</f>
        <v>Entertainment</v>
      </c>
      <c r="E83" s="127">
        <f t="shared" ref="E83:E93" si="27">AE52</f>
        <v>0.28462998102466791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 t="s">
        <v>9</v>
      </c>
      <c r="AC83" s="123"/>
      <c r="AD83" s="1" t="s">
        <v>9</v>
      </c>
      <c r="AE83" s="123"/>
      <c r="AF83" s="1" t="s">
        <v>9</v>
      </c>
      <c r="AG83" s="123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5.75" customHeight="1">
      <c r="A84" s="1"/>
      <c r="B84" s="1"/>
      <c r="C84" s="1"/>
      <c r="D84" s="8" t="str">
        <f t="shared" si="26"/>
        <v>Eating out</v>
      </c>
      <c r="E84" s="127">
        <f t="shared" si="27"/>
        <v>0.18975332068311196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 t="s">
        <v>9</v>
      </c>
      <c r="AC84" s="123"/>
      <c r="AD84" s="1" t="s">
        <v>9</v>
      </c>
      <c r="AE84" s="123"/>
      <c r="AF84" s="1" t="s">
        <v>9</v>
      </c>
      <c r="AG84" s="123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5.75" customHeight="1">
      <c r="A85" s="1"/>
      <c r="B85" s="1"/>
      <c r="C85" s="1"/>
      <c r="D85" s="8" t="str">
        <f t="shared" si="26"/>
        <v>Beauty</v>
      </c>
      <c r="E85" s="127">
        <f t="shared" si="27"/>
        <v>0.14231499051233396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 t="s">
        <v>9</v>
      </c>
      <c r="AC85" s="123"/>
      <c r="AD85" s="1" t="s">
        <v>9</v>
      </c>
      <c r="AE85" s="123"/>
      <c r="AF85" s="1" t="s">
        <v>9</v>
      </c>
      <c r="AG85" s="123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5.75" customHeight="1">
      <c r="A86" s="1"/>
      <c r="B86" s="1"/>
      <c r="C86" s="1"/>
      <c r="D86" s="8" t="str">
        <f t="shared" si="26"/>
        <v>Drinks</v>
      </c>
      <c r="E86" s="127">
        <f t="shared" si="27"/>
        <v>0.11385199240986717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 t="s">
        <v>9</v>
      </c>
      <c r="AC86" s="123"/>
      <c r="AD86" s="1" t="s">
        <v>9</v>
      </c>
      <c r="AE86" s="123"/>
      <c r="AF86" s="1" t="s">
        <v>9</v>
      </c>
      <c r="AG86" s="123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5.75" customHeight="1">
      <c r="A87" s="1"/>
      <c r="B87" s="1"/>
      <c r="C87" s="1"/>
      <c r="D87" s="8" t="str">
        <f t="shared" si="26"/>
        <v>Gifts</v>
      </c>
      <c r="E87" s="127">
        <f t="shared" si="27"/>
        <v>9.4876660341555979E-2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 t="s">
        <v>9</v>
      </c>
      <c r="AC87" s="123"/>
      <c r="AD87" s="1" t="s">
        <v>9</v>
      </c>
      <c r="AE87" s="123"/>
      <c r="AF87" s="1" t="s">
        <v>9</v>
      </c>
      <c r="AG87" s="123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5.75" customHeight="1">
      <c r="A88" s="1"/>
      <c r="B88" s="1"/>
      <c r="C88" s="1"/>
      <c r="D88" s="8" t="str">
        <f t="shared" si="26"/>
        <v>Clothes</v>
      </c>
      <c r="E88" s="127">
        <f t="shared" si="27"/>
        <v>7.5901328273244778E-2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 t="s">
        <v>9</v>
      </c>
      <c r="AC88" s="123"/>
      <c r="AD88" s="1" t="s">
        <v>9</v>
      </c>
      <c r="AE88" s="123"/>
      <c r="AF88" s="1" t="s">
        <v>9</v>
      </c>
      <c r="AG88" s="123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5.75" customHeight="1">
      <c r="A89" s="1"/>
      <c r="B89" s="1"/>
      <c r="C89" s="1"/>
      <c r="D89" s="8" t="str">
        <f t="shared" si="26"/>
        <v>Coffee</v>
      </c>
      <c r="E89" s="127">
        <f t="shared" si="27"/>
        <v>5.6925996204933584E-2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 t="s">
        <v>9</v>
      </c>
      <c r="AC89" s="123"/>
      <c r="AD89" s="1" t="s">
        <v>9</v>
      </c>
      <c r="AE89" s="123"/>
      <c r="AF89" s="1" t="s">
        <v>9</v>
      </c>
      <c r="AG89" s="123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5.75" customHeight="1">
      <c r="A90" s="1"/>
      <c r="B90" s="1"/>
      <c r="C90" s="1"/>
      <c r="D90" s="8" t="str">
        <f t="shared" si="26"/>
        <v>Netflix</v>
      </c>
      <c r="E90" s="127">
        <f t="shared" si="27"/>
        <v>2.2770398481973434E-2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 t="s">
        <v>9</v>
      </c>
      <c r="AC90" s="123"/>
      <c r="AD90" s="1" t="s">
        <v>9</v>
      </c>
      <c r="AE90" s="123"/>
      <c r="AF90" s="1" t="s">
        <v>9</v>
      </c>
      <c r="AG90" s="123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5.75" customHeight="1">
      <c r="A91" s="1"/>
      <c r="B91" s="1"/>
      <c r="C91" s="1"/>
      <c r="D91" s="8" t="str">
        <f t="shared" si="26"/>
        <v>Spotify</v>
      </c>
      <c r="E91" s="127">
        <f t="shared" si="27"/>
        <v>1.8975332068311195E-2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5.75" customHeight="1">
      <c r="A92" s="1"/>
      <c r="B92" s="1"/>
      <c r="C92" s="1"/>
      <c r="D92" s="8">
        <f t="shared" si="26"/>
        <v>0</v>
      </c>
      <c r="E92" s="127">
        <f t="shared" si="27"/>
        <v>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5.75" customHeight="1">
      <c r="A93" s="1"/>
      <c r="B93" s="1"/>
      <c r="C93" s="1"/>
      <c r="D93" s="8">
        <f t="shared" si="26"/>
        <v>0</v>
      </c>
      <c r="E93" s="127">
        <f t="shared" si="27"/>
        <v>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5.75" customHeight="1">
      <c r="A94" s="1"/>
      <c r="B94" s="1"/>
      <c r="C94" s="1"/>
      <c r="D94" s="8">
        <f>Z71</f>
        <v>0</v>
      </c>
      <c r="E94" s="127" t="str">
        <f>AD71</f>
        <v>ACTUAL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5.75" customHeight="1"/>
    <row r="288" spans="1:42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105">
    <mergeCell ref="G42:Y42"/>
    <mergeCell ref="G43:Y43"/>
    <mergeCell ref="G44:Y44"/>
    <mergeCell ref="G45:Y45"/>
    <mergeCell ref="G46:Y46"/>
    <mergeCell ref="G47:Y47"/>
    <mergeCell ref="G48:Y48"/>
    <mergeCell ref="G49:Y49"/>
    <mergeCell ref="B31:F31"/>
    <mergeCell ref="C32:D32"/>
    <mergeCell ref="E32:F32"/>
    <mergeCell ref="B38:Y38"/>
    <mergeCell ref="C39:D39"/>
    <mergeCell ref="G39:Y39"/>
    <mergeCell ref="E40:F40"/>
    <mergeCell ref="G40:Y40"/>
    <mergeCell ref="E41:F41"/>
    <mergeCell ref="G41:Y41"/>
    <mergeCell ref="E42:F42"/>
    <mergeCell ref="E43:F43"/>
    <mergeCell ref="E44:F44"/>
    <mergeCell ref="E45:F45"/>
    <mergeCell ref="E46:F46"/>
    <mergeCell ref="E47:F47"/>
    <mergeCell ref="B2:C3"/>
    <mergeCell ref="B4:C4"/>
    <mergeCell ref="B7:C7"/>
    <mergeCell ref="J8:K9"/>
    <mergeCell ref="B13:F13"/>
    <mergeCell ref="C14:D14"/>
    <mergeCell ref="E14:F14"/>
    <mergeCell ref="B24:F24"/>
    <mergeCell ref="C25:D25"/>
    <mergeCell ref="E25:F25"/>
    <mergeCell ref="U18:V18"/>
    <mergeCell ref="W18:X18"/>
    <mergeCell ref="AC18:AD18"/>
    <mergeCell ref="AE18:AF18"/>
    <mergeCell ref="H17:O17"/>
    <mergeCell ref="Q17:X17"/>
    <mergeCell ref="Z17:AF17"/>
    <mergeCell ref="J18:K18"/>
    <mergeCell ref="L18:M18"/>
    <mergeCell ref="N18:O18"/>
    <mergeCell ref="S18:T18"/>
    <mergeCell ref="H73:J73"/>
    <mergeCell ref="M73:O73"/>
    <mergeCell ref="G56:Y56"/>
    <mergeCell ref="G57:Y57"/>
    <mergeCell ref="Z57:AB57"/>
    <mergeCell ref="G58:Y58"/>
    <mergeCell ref="Z58:AB58"/>
    <mergeCell ref="G59:Y59"/>
    <mergeCell ref="Z59:AB59"/>
    <mergeCell ref="AB71:AC71"/>
    <mergeCell ref="Z60:AB60"/>
    <mergeCell ref="AD71:AE71"/>
    <mergeCell ref="AF71:AG71"/>
    <mergeCell ref="AE51:AF51"/>
    <mergeCell ref="AE52:AF52"/>
    <mergeCell ref="AE53:AF53"/>
    <mergeCell ref="AE54:AF54"/>
    <mergeCell ref="AE55:AF55"/>
    <mergeCell ref="AE56:AF56"/>
    <mergeCell ref="AE57:AF57"/>
    <mergeCell ref="G54:Y54"/>
    <mergeCell ref="Z54:AB54"/>
    <mergeCell ref="G55:Y55"/>
    <mergeCell ref="Z55:AB55"/>
    <mergeCell ref="Z56:AB56"/>
    <mergeCell ref="AE58:AF58"/>
    <mergeCell ref="AE59:AF59"/>
    <mergeCell ref="AE60:AF60"/>
    <mergeCell ref="AA70:AG70"/>
    <mergeCell ref="G60:Y60"/>
    <mergeCell ref="G50:Y50"/>
    <mergeCell ref="Z50:AF50"/>
    <mergeCell ref="G51:Y51"/>
    <mergeCell ref="Z51:AB51"/>
    <mergeCell ref="AC51:AD51"/>
    <mergeCell ref="G52:Y52"/>
    <mergeCell ref="Z52:AB52"/>
    <mergeCell ref="G53:Y53"/>
    <mergeCell ref="Z53:AB53"/>
    <mergeCell ref="D74:F74"/>
    <mergeCell ref="E75:F75"/>
    <mergeCell ref="E76:F76"/>
    <mergeCell ref="D80:F80"/>
    <mergeCell ref="D81:F81"/>
    <mergeCell ref="E56:F56"/>
    <mergeCell ref="E57:F57"/>
    <mergeCell ref="E58:F58"/>
    <mergeCell ref="E59:F59"/>
    <mergeCell ref="E60:F60"/>
    <mergeCell ref="D71:F71"/>
    <mergeCell ref="D72:F72"/>
    <mergeCell ref="E48:F48"/>
    <mergeCell ref="E49:F49"/>
    <mergeCell ref="E50:F50"/>
    <mergeCell ref="E51:F51"/>
    <mergeCell ref="E52:F52"/>
    <mergeCell ref="E53:F53"/>
    <mergeCell ref="E54:F54"/>
    <mergeCell ref="E55:F55"/>
    <mergeCell ref="D73:F73"/>
  </mergeCells>
  <dataValidations count="1">
    <dataValidation type="list" allowBlank="1" showErrorMessage="1" sqref="I2" xr:uid="{00000000-0002-0000-0000-000000000000}">
      <formula1>$D$72:$F$73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Naskar</dc:creator>
  <cp:lastModifiedBy>Anupam Naskar</cp:lastModifiedBy>
  <dcterms:created xsi:type="dcterms:W3CDTF">2026-03-08T02:09:51Z</dcterms:created>
  <dcterms:modified xsi:type="dcterms:W3CDTF">2026-03-08T12:50:34Z</dcterms:modified>
</cp:coreProperties>
</file>