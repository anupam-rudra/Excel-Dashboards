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pa\Downloads\Excel Dashboards For Github\"/>
    </mc:Choice>
  </mc:AlternateContent>
  <xr:revisionPtr revIDLastSave="0" documentId="13_ncr:1_{18FE2FE7-DE55-4B2B-AE68-D7E2E3F9D8B5}" xr6:coauthVersionLast="47" xr6:coauthVersionMax="47" xr10:uidLastSave="{00000000-0000-0000-0000-000000000000}"/>
  <bookViews>
    <workbookView xWindow="-108" yWindow="-108" windowWidth="23256" windowHeight="12456" tabRatio="641" xr2:uid="{71F564DA-62C5-474D-80BD-68EB86D13CD9}"/>
  </bookViews>
  <sheets>
    <sheet name="Emp_List" sheetId="3" r:id="rId1"/>
    <sheet name="Training_List" sheetId="2" r:id="rId2"/>
    <sheet name="Emp_Training_Tracker" sheetId="1" r:id="rId3"/>
    <sheet name="Reference" sheetId="6" r:id="rId4"/>
    <sheet name="Calculations" sheetId="7" r:id="rId5"/>
    <sheet name="Linked Charts" sheetId="8" r:id="rId6"/>
    <sheet name="Dashboard" sheetId="5" r:id="rId7"/>
  </sheet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8" l="1"/>
  <c r="B67" i="8" s="1"/>
  <c r="A37" i="8"/>
  <c r="H41" i="8" s="1"/>
  <c r="J4" i="7"/>
  <c r="J13" i="7"/>
  <c r="B70" i="8" l="1"/>
  <c r="B65" i="8"/>
  <c r="B69" i="8"/>
  <c r="B73" i="8"/>
  <c r="B68" i="8"/>
  <c r="B72" i="8"/>
  <c r="B66" i="8"/>
  <c r="B71" i="8"/>
  <c r="F44" i="8"/>
  <c r="H52" i="8"/>
  <c r="C59" i="8"/>
  <c r="C51" i="8"/>
  <c r="D56" i="8"/>
  <c r="F52" i="8"/>
  <c r="G58" i="8"/>
  <c r="H48" i="8"/>
  <c r="D59" i="8"/>
  <c r="D45" i="8"/>
  <c r="F57" i="8"/>
  <c r="G41" i="8"/>
  <c r="C58" i="8"/>
  <c r="D55" i="8"/>
  <c r="D41" i="8"/>
  <c r="H39" i="8"/>
  <c r="H44" i="8"/>
  <c r="C55" i="8"/>
  <c r="E57" i="8"/>
  <c r="H40" i="8"/>
  <c r="E56" i="8"/>
  <c r="F56" i="8"/>
  <c r="G57" i="8"/>
  <c r="H51" i="8"/>
  <c r="H47" i="8"/>
  <c r="H43" i="8"/>
  <c r="C57" i="8"/>
  <c r="C45" i="8"/>
  <c r="D58" i="8"/>
  <c r="D49" i="8"/>
  <c r="E59" i="8"/>
  <c r="E55" i="8"/>
  <c r="E43" i="8"/>
  <c r="F59" i="8"/>
  <c r="F55" i="8"/>
  <c r="G56" i="8"/>
  <c r="G39" i="8"/>
  <c r="G51" i="8"/>
  <c r="H54" i="8"/>
  <c r="H50" i="8"/>
  <c r="H46" i="8"/>
  <c r="H42" i="8"/>
  <c r="C56" i="8"/>
  <c r="C48" i="8"/>
  <c r="D57" i="8"/>
  <c r="D53" i="8"/>
  <c r="E58" i="8"/>
  <c r="F58" i="8"/>
  <c r="F46" i="8"/>
  <c r="G59" i="8"/>
  <c r="G55" i="8"/>
  <c r="G45" i="8"/>
  <c r="H53" i="8"/>
  <c r="H49" i="8"/>
  <c r="H45" i="8"/>
  <c r="I40" i="7" l="1"/>
  <c r="A11" i="8"/>
  <c r="A5" i="8"/>
  <c r="A4" i="8"/>
  <c r="G19" i="7" l="1"/>
  <c r="G18" i="7"/>
  <c r="G14" i="7"/>
  <c r="I42" i="7"/>
  <c r="C4" i="7"/>
  <c r="C3" i="7"/>
  <c r="B26" i="7" s="1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4" i="7"/>
  <c r="L15" i="7"/>
  <c r="L7" i="7"/>
  <c r="L6" i="7"/>
  <c r="L5" i="7"/>
  <c r="L4" i="7"/>
  <c r="L8" i="7"/>
  <c r="L9" i="7"/>
  <c r="L10" i="7"/>
  <c r="L11" i="7"/>
  <c r="L12" i="7"/>
  <c r="L13" i="7"/>
  <c r="L14" i="7"/>
  <c r="L16" i="7"/>
  <c r="L17" i="7"/>
  <c r="L18" i="7"/>
  <c r="L19" i="7"/>
  <c r="L20" i="7"/>
  <c r="L21" i="7"/>
  <c r="L22" i="7"/>
  <c r="L23" i="7"/>
  <c r="L24" i="7"/>
  <c r="K14" i="7"/>
  <c r="K13" i="7"/>
  <c r="K12" i="7"/>
  <c r="K11" i="7"/>
  <c r="K10" i="7"/>
  <c r="K9" i="7"/>
  <c r="K8" i="7"/>
  <c r="K7" i="7"/>
  <c r="K5" i="7"/>
  <c r="K6" i="7"/>
  <c r="K4" i="7"/>
  <c r="K15" i="7"/>
  <c r="K16" i="7"/>
  <c r="K17" i="7"/>
  <c r="K18" i="7"/>
  <c r="K19" i="7"/>
  <c r="K20" i="7"/>
  <c r="K21" i="7"/>
  <c r="K22" i="7"/>
  <c r="K23" i="7"/>
  <c r="K24" i="7"/>
  <c r="G5" i="7"/>
  <c r="J5" i="7"/>
  <c r="J6" i="7"/>
  <c r="J7" i="7"/>
  <c r="J8" i="7"/>
  <c r="J9" i="7"/>
  <c r="J10" i="7"/>
  <c r="J11" i="7"/>
  <c r="J12" i="7"/>
  <c r="J14" i="7"/>
  <c r="J15" i="7"/>
  <c r="J16" i="7"/>
  <c r="J17" i="7"/>
  <c r="J18" i="7"/>
  <c r="J19" i="7"/>
  <c r="J20" i="7"/>
  <c r="J21" i="7"/>
  <c r="J22" i="7"/>
  <c r="J23" i="7"/>
  <c r="J24" i="7"/>
  <c r="G4" i="7"/>
  <c r="G20" i="7"/>
  <c r="G6" i="7"/>
  <c r="G7" i="7"/>
  <c r="G8" i="7"/>
  <c r="G9" i="7"/>
  <c r="G10" i="7"/>
  <c r="G11" i="7"/>
  <c r="G12" i="7"/>
  <c r="G13" i="7"/>
  <c r="G15" i="7"/>
  <c r="G16" i="7"/>
  <c r="G17" i="7"/>
  <c r="G21" i="7"/>
  <c r="G22" i="7"/>
  <c r="G23" i="7"/>
  <c r="G24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40" i="7"/>
  <c r="I51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42" i="7"/>
  <c r="I43" i="7"/>
  <c r="I44" i="7"/>
  <c r="I45" i="7"/>
  <c r="I46" i="7"/>
  <c r="I47" i="7"/>
  <c r="I48" i="7"/>
  <c r="I49" i="7"/>
  <c r="I50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41" i="7"/>
  <c r="K123" i="7"/>
  <c r="K43" i="7"/>
  <c r="K175" i="7"/>
  <c r="K183" i="7"/>
  <c r="K78" i="7"/>
  <c r="K145" i="7"/>
  <c r="K69" i="7"/>
  <c r="K169" i="7"/>
  <c r="K79" i="7"/>
  <c r="K181" i="7"/>
  <c r="K101" i="7"/>
  <c r="K163" i="7"/>
  <c r="K121" i="7"/>
  <c r="K85" i="7"/>
  <c r="K47" i="7"/>
  <c r="K44" i="7"/>
  <c r="K57" i="7"/>
  <c r="K128" i="7"/>
  <c r="K105" i="7"/>
  <c r="K89" i="7"/>
  <c r="H58" i="8" l="1"/>
  <c r="D84" i="8" s="1"/>
  <c r="D32" i="8"/>
  <c r="H59" i="8"/>
  <c r="D85" i="8" s="1"/>
  <c r="D31" i="8"/>
  <c r="C17" i="7"/>
  <c r="P19" i="5" s="1"/>
  <c r="C20" i="7"/>
  <c r="V19" i="5" s="1"/>
  <c r="C14" i="7"/>
  <c r="D19" i="5" s="1"/>
  <c r="C5" i="7"/>
  <c r="C6" i="7"/>
  <c r="C9" i="7"/>
  <c r="C8" i="7"/>
  <c r="B31" i="7" s="1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K49" i="7" s="1"/>
  <c r="D48" i="8" s="1"/>
  <c r="E9" i="2"/>
  <c r="E3" i="2"/>
  <c r="E4" i="2"/>
  <c r="E5" i="2"/>
  <c r="E6" i="2"/>
  <c r="E7" i="2"/>
  <c r="E8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" i="2"/>
  <c r="C12" i="7" l="1"/>
  <c r="C11" i="7" s="1"/>
  <c r="J19" i="5" s="1"/>
  <c r="D34" i="7"/>
  <c r="K41" i="7"/>
  <c r="E44" i="8" s="1"/>
  <c r="K46" i="7"/>
  <c r="O10" i="5"/>
  <c r="C10" i="7"/>
  <c r="I10" i="5"/>
  <c r="K161" i="7"/>
  <c r="K91" i="7"/>
  <c r="K111" i="7"/>
  <c r="K114" i="7"/>
  <c r="K165" i="7"/>
  <c r="K164" i="7"/>
  <c r="D44" i="8" s="1"/>
  <c r="K90" i="7"/>
  <c r="C49" i="8" s="1"/>
  <c r="K70" i="7"/>
  <c r="C42" i="8" s="1"/>
  <c r="K150" i="7"/>
  <c r="K106" i="7"/>
  <c r="K151" i="7"/>
  <c r="G43" i="8" s="1"/>
  <c r="K153" i="7"/>
  <c r="D51" i="8" s="1"/>
  <c r="K116" i="7"/>
  <c r="C41" i="8" s="1"/>
  <c r="K96" i="7"/>
  <c r="K80" i="7"/>
  <c r="E41" i="8" s="1"/>
  <c r="K51" i="7"/>
  <c r="G53" i="8" s="1"/>
  <c r="K167" i="7"/>
  <c r="K76" i="7"/>
  <c r="K92" i="7"/>
  <c r="K140" i="7"/>
  <c r="E50" i="8" s="1"/>
  <c r="K130" i="7"/>
  <c r="K77" i="7"/>
  <c r="K67" i="7"/>
  <c r="E54" i="8" s="1"/>
  <c r="K65" i="7"/>
  <c r="K155" i="7"/>
  <c r="E53" i="8" s="1"/>
  <c r="K135" i="7"/>
  <c r="K122" i="7"/>
  <c r="E49" i="8" s="1"/>
  <c r="K110" i="7"/>
  <c r="K133" i="7"/>
  <c r="K156" i="7"/>
  <c r="K176" i="7"/>
  <c r="E52" i="8" s="1"/>
  <c r="K159" i="7"/>
  <c r="K45" i="7"/>
  <c r="K184" i="7"/>
  <c r="K117" i="7"/>
  <c r="C39" i="8" s="1"/>
  <c r="K93" i="7"/>
  <c r="K86" i="7"/>
  <c r="K144" i="7"/>
  <c r="E45" i="8" s="1"/>
  <c r="D71" i="8" s="1"/>
  <c r="K174" i="7"/>
  <c r="K64" i="7"/>
  <c r="E46" i="8" s="1"/>
  <c r="K157" i="7"/>
  <c r="K115" i="7"/>
  <c r="K158" i="7"/>
  <c r="K84" i="7"/>
  <c r="K146" i="7"/>
  <c r="G42" i="8" s="1"/>
  <c r="K166" i="7"/>
  <c r="K134" i="7"/>
  <c r="K66" i="7"/>
  <c r="K60" i="7"/>
  <c r="D42" i="8" s="1"/>
  <c r="K50" i="7"/>
  <c r="K55" i="7"/>
  <c r="G44" i="8" s="1"/>
  <c r="K56" i="7"/>
  <c r="F39" i="8" s="1"/>
  <c r="K179" i="7"/>
  <c r="K81" i="7"/>
  <c r="K148" i="7"/>
  <c r="F51" i="8" s="1"/>
  <c r="K113" i="7"/>
  <c r="K87" i="7"/>
  <c r="D40" i="8" s="1"/>
  <c r="K139" i="7"/>
  <c r="K88" i="7"/>
  <c r="C50" i="8" s="1"/>
  <c r="K168" i="7"/>
  <c r="K53" i="7"/>
  <c r="K52" i="7"/>
  <c r="E42" i="8" s="1"/>
  <c r="K149" i="7"/>
  <c r="K126" i="7"/>
  <c r="K142" i="7"/>
  <c r="K137" i="7"/>
  <c r="K127" i="7"/>
  <c r="E48" i="8" s="1"/>
  <c r="D74" i="8" s="1"/>
  <c r="K100" i="7"/>
  <c r="D50" i="8" s="1"/>
  <c r="K48" i="7"/>
  <c r="K136" i="7"/>
  <c r="K120" i="7"/>
  <c r="K171" i="7"/>
  <c r="K147" i="7"/>
  <c r="K107" i="7"/>
  <c r="K109" i="7"/>
  <c r="F50" i="8" s="1"/>
  <c r="K82" i="7"/>
  <c r="G48" i="8" s="1"/>
  <c r="K124" i="7"/>
  <c r="K125" i="7"/>
  <c r="C44" i="8" s="1"/>
  <c r="K177" i="7"/>
  <c r="K83" i="7"/>
  <c r="K62" i="7"/>
  <c r="C43" i="8" s="1"/>
  <c r="K99" i="7"/>
  <c r="C52" i="8" s="1"/>
  <c r="K112" i="7"/>
  <c r="F48" i="8" s="1"/>
  <c r="K131" i="7"/>
  <c r="K58" i="7"/>
  <c r="K129" i="7"/>
  <c r="K152" i="7"/>
  <c r="K59" i="7"/>
  <c r="D47" i="8" s="1"/>
  <c r="K54" i="7"/>
  <c r="K63" i="7"/>
  <c r="K182" i="7"/>
  <c r="K95" i="7"/>
  <c r="K71" i="7"/>
  <c r="E47" i="8" s="1"/>
  <c r="K132" i="7"/>
  <c r="K154" i="7"/>
  <c r="F45" i="8" s="1"/>
  <c r="K75" i="7"/>
  <c r="G47" i="8" s="1"/>
  <c r="K178" i="7"/>
  <c r="K173" i="7"/>
  <c r="K72" i="7"/>
  <c r="K97" i="7"/>
  <c r="C54" i="8" s="1"/>
  <c r="K170" i="7"/>
  <c r="K160" i="7"/>
  <c r="K73" i="7"/>
  <c r="K74" i="7"/>
  <c r="K103" i="7"/>
  <c r="K104" i="7"/>
  <c r="K61" i="7"/>
  <c r="K185" i="7"/>
  <c r="K68" i="7"/>
  <c r="K172" i="7"/>
  <c r="K40" i="7"/>
  <c r="K180" i="7"/>
  <c r="K118" i="7"/>
  <c r="F54" i="8" s="1"/>
  <c r="K108" i="7"/>
  <c r="F49" i="8" s="1"/>
  <c r="K94" i="7"/>
  <c r="K162" i="7"/>
  <c r="D54" i="8" s="1"/>
  <c r="K138" i="7"/>
  <c r="K102" i="7"/>
  <c r="F47" i="8" s="1"/>
  <c r="K119" i="7"/>
  <c r="F42" i="8" s="1"/>
  <c r="K143" i="7"/>
  <c r="G46" i="8" s="1"/>
  <c r="K98" i="7"/>
  <c r="F40" i="8" s="1"/>
  <c r="K42" i="7"/>
  <c r="F43" i="8" s="1"/>
  <c r="K141" i="7"/>
  <c r="G52" i="8" s="1"/>
  <c r="D52" i="8" l="1"/>
  <c r="C5" i="8"/>
  <c r="C4" i="8"/>
  <c r="D43" i="8"/>
  <c r="H56" i="8"/>
  <c r="D82" i="8" s="1"/>
  <c r="D29" i="8"/>
  <c r="E40" i="8"/>
  <c r="D28" i="8"/>
  <c r="H55" i="8"/>
  <c r="D81" i="8" s="1"/>
  <c r="D76" i="8"/>
  <c r="D65" i="8"/>
  <c r="C53" i="8"/>
  <c r="D79" i="8" s="1"/>
  <c r="D26" i="8"/>
  <c r="D78" i="8"/>
  <c r="C40" i="8"/>
  <c r="D68" i="8"/>
  <c r="D77" i="8"/>
  <c r="G40" i="8"/>
  <c r="D46" i="8"/>
  <c r="D75" i="8"/>
  <c r="D30" i="8"/>
  <c r="H57" i="8"/>
  <c r="D83" i="8" s="1"/>
  <c r="D69" i="8"/>
  <c r="G54" i="8"/>
  <c r="D24" i="8"/>
  <c r="E51" i="8"/>
  <c r="D39" i="8"/>
  <c r="D80" i="8"/>
  <c r="C47" i="8"/>
  <c r="D73" i="8" s="1"/>
  <c r="G49" i="8"/>
  <c r="F53" i="8"/>
  <c r="C46" i="8"/>
  <c r="D72" i="8" s="1"/>
  <c r="F41" i="8"/>
  <c r="D67" i="8" s="1"/>
  <c r="D14" i="8"/>
  <c r="D23" i="8"/>
  <c r="G50" i="8"/>
  <c r="D70" i="8"/>
  <c r="E39" i="8"/>
  <c r="D12" i="8"/>
  <c r="U10" i="5"/>
  <c r="B33" i="7"/>
  <c r="D16" i="8"/>
  <c r="D15" i="8"/>
  <c r="D18" i="8"/>
  <c r="D20" i="8"/>
  <c r="D22" i="8"/>
  <c r="D27" i="8"/>
  <c r="C7" i="7"/>
  <c r="D13" i="8"/>
  <c r="D19" i="8"/>
  <c r="D25" i="8"/>
  <c r="D21" i="8"/>
  <c r="D17" i="8"/>
  <c r="F4" i="8"/>
  <c r="F5" i="8"/>
  <c r="E5" i="8"/>
  <c r="E4" i="8"/>
  <c r="G5" i="8"/>
  <c r="G4" i="8"/>
  <c r="H4" i="8"/>
  <c r="H5" i="8"/>
  <c r="D5" i="8"/>
  <c r="D4" i="8"/>
  <c r="D66" i="8" l="1"/>
  <c r="C10" i="5"/>
  <c r="B29" i="7"/>
  <c r="B36" i="7" l="1"/>
  <c r="D6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FUJITSU</author>
  </authors>
  <commentList>
    <comment ref="E19" authorId="0" shapeId="0" xr:uid="{03F266E4-3ACD-42D3-8226-6840B1B06376}">
      <text>
        <r>
          <rPr>
            <b/>
            <sz val="9"/>
            <color indexed="81"/>
            <rFont val="Tahoma"/>
            <family val="2"/>
          </rPr>
          <t>KERVIN:</t>
        </r>
        <r>
          <rPr>
            <sz val="9"/>
            <color indexed="81"/>
            <rFont val="Tahoma"/>
            <family val="2"/>
          </rPr>
          <t xml:space="preserve">
A special formula was applied as the participant is ineligible to participate in the training.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63067B-D51F-4E70-BD99-6A9232B3637B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<sst xmlns="http://schemas.openxmlformats.org/spreadsheetml/2006/main" count="2357" uniqueCount="355">
  <si>
    <t>Person Name</t>
  </si>
  <si>
    <t>Program Name</t>
  </si>
  <si>
    <t>Status</t>
  </si>
  <si>
    <t>Feedback Rating</t>
  </si>
  <si>
    <t>Timon Armstrong</t>
  </si>
  <si>
    <t>Basic Project Management Methods</t>
  </si>
  <si>
    <t>Nominated</t>
  </si>
  <si>
    <t>5 - Very happy</t>
  </si>
  <si>
    <t>Ahmed Cortez</t>
  </si>
  <si>
    <t>Advanced Advertising Skills</t>
  </si>
  <si>
    <t>Ivory Sloan</t>
  </si>
  <si>
    <t>Basic Sales Skills</t>
  </si>
  <si>
    <t>1 - Disaster</t>
  </si>
  <si>
    <t>Colleen Bryan</t>
  </si>
  <si>
    <t>Advanced IT Skills</t>
  </si>
  <si>
    <t>Kenneth Gallagher</t>
  </si>
  <si>
    <t>Basic Advertising Methods</t>
  </si>
  <si>
    <t>4 - Happy</t>
  </si>
  <si>
    <t>Perry Schmidt</t>
  </si>
  <si>
    <t>Advanced People Management Skills</t>
  </si>
  <si>
    <t>Edward Glenn</t>
  </si>
  <si>
    <t>3 - Average</t>
  </si>
  <si>
    <t>Tiger Bauer</t>
  </si>
  <si>
    <t>Advanced Business Methods</t>
  </si>
  <si>
    <t>Yoshio Pierce</t>
  </si>
  <si>
    <t>Dorothy Pena</t>
  </si>
  <si>
    <t>Advanced IT Techniques</t>
  </si>
  <si>
    <t>Cole Shelton</t>
  </si>
  <si>
    <t>Bevis Mcpherson</t>
  </si>
  <si>
    <t>Basic People Management Methods</t>
  </si>
  <si>
    <t>Abel Sherman</t>
  </si>
  <si>
    <t>Advanced People Management Techniques</t>
  </si>
  <si>
    <t>2 - Not happy</t>
  </si>
  <si>
    <t>Hiroko Bird</t>
  </si>
  <si>
    <t>Madonna Hines</t>
  </si>
  <si>
    <t>Elmo Monroe</t>
  </si>
  <si>
    <t>Karly Barron</t>
  </si>
  <si>
    <t>Iris Bernard</t>
  </si>
  <si>
    <t>David Hernandez</t>
  </si>
  <si>
    <t>Advanced Sales Techniques</t>
  </si>
  <si>
    <t>Imelda Herring</t>
  </si>
  <si>
    <t>Veda Bruce</t>
  </si>
  <si>
    <t>Kamal Pope</t>
  </si>
  <si>
    <t>Charity Gross</t>
  </si>
  <si>
    <t>Rashad Hobbs</t>
  </si>
  <si>
    <t>Kay Rios</t>
  </si>
  <si>
    <t>Advanced Sales Methods</t>
  </si>
  <si>
    <t>George Mcleod</t>
  </si>
  <si>
    <t>Quinlan Mcbride</t>
  </si>
  <si>
    <t>Lydia Wolfe</t>
  </si>
  <si>
    <t>Basic Business Skills</t>
  </si>
  <si>
    <t>Basia David</t>
  </si>
  <si>
    <t>Basic Advertising Skills</t>
  </si>
  <si>
    <t>Jade Weber</t>
  </si>
  <si>
    <t>Advanced People Management Methods</t>
  </si>
  <si>
    <t>Prescott Mcknight</t>
  </si>
  <si>
    <t>Basic IT Methods</t>
  </si>
  <si>
    <t>Stone Pickett</t>
  </si>
  <si>
    <t>Kathleen Chan</t>
  </si>
  <si>
    <t>Basic Advertising Techniques</t>
  </si>
  <si>
    <t>Asher Workman</t>
  </si>
  <si>
    <t>Basic People Management Techniques</t>
  </si>
  <si>
    <t>Demetria Wiley</t>
  </si>
  <si>
    <t>Bruce Day</t>
  </si>
  <si>
    <t>Noelani Snyder</t>
  </si>
  <si>
    <t>Basic People Management Skills</t>
  </si>
  <si>
    <t>Otto Burke</t>
  </si>
  <si>
    <t>Kellie Ferrell</t>
  </si>
  <si>
    <t>Mira Perkins</t>
  </si>
  <si>
    <t>Barclay Romero</t>
  </si>
  <si>
    <t>Harrison Ross</t>
  </si>
  <si>
    <t>Ali Hernandez</t>
  </si>
  <si>
    <t>Brooke Odom</t>
  </si>
  <si>
    <t>Advanced Project Management Skills</t>
  </si>
  <si>
    <t>Jordan Schneider</t>
  </si>
  <si>
    <t>Gregory Odom</t>
  </si>
  <si>
    <t>Advanced Business Techniques</t>
  </si>
  <si>
    <t>Winifred Vaughn</t>
  </si>
  <si>
    <t>Robin Blackburn</t>
  </si>
  <si>
    <t>Keith Mccarty</t>
  </si>
  <si>
    <t>Castor Whitney</t>
  </si>
  <si>
    <t>Nyssa England</t>
  </si>
  <si>
    <t>Halee Middleton</t>
  </si>
  <si>
    <t>Ciaran Becker</t>
  </si>
  <si>
    <t>Ryan Walton</t>
  </si>
  <si>
    <t>Cole Sheraton</t>
  </si>
  <si>
    <t>Lionel Joseph</t>
  </si>
  <si>
    <t>Kieran Wilson</t>
  </si>
  <si>
    <t>Mallory Carlson</t>
  </si>
  <si>
    <t>Cancelled</t>
  </si>
  <si>
    <t>Colorado Fields</t>
  </si>
  <si>
    <t>Roary Snyder</t>
  </si>
  <si>
    <t>Perry Ray</t>
  </si>
  <si>
    <t>Barbara Mcconnell</t>
  </si>
  <si>
    <t>Zeph Gill</t>
  </si>
  <si>
    <t>Kyla Spears</t>
  </si>
  <si>
    <t>Final Status</t>
  </si>
  <si>
    <t>OK</t>
  </si>
  <si>
    <t>Course over capacity</t>
  </si>
  <si>
    <t>Duplicate enrollment</t>
  </si>
  <si>
    <t>ID</t>
  </si>
  <si>
    <t>Program name</t>
  </si>
  <si>
    <t>Trainer</t>
  </si>
  <si>
    <t>Date</t>
  </si>
  <si>
    <t>Duration</t>
  </si>
  <si>
    <t>Capacity</t>
  </si>
  <si>
    <t>Cost</t>
  </si>
  <si>
    <t>T001</t>
  </si>
  <si>
    <t>Eu Dolor Egestas Inc.</t>
  </si>
  <si>
    <t>T002</t>
  </si>
  <si>
    <t>Morbi Tristique Industries</t>
  </si>
  <si>
    <t>T003</t>
  </si>
  <si>
    <t>Interdum Company</t>
  </si>
  <si>
    <t>T004</t>
  </si>
  <si>
    <t>Metus In Nec Foundation</t>
  </si>
  <si>
    <t>T005</t>
  </si>
  <si>
    <t>Lacus Pede Company</t>
  </si>
  <si>
    <t>T006</t>
  </si>
  <si>
    <t>Quisque PC</t>
  </si>
  <si>
    <t>T007</t>
  </si>
  <si>
    <t>Libero At Auctor Associates</t>
  </si>
  <si>
    <t>T008</t>
  </si>
  <si>
    <t>Nulla Eu Incorporated</t>
  </si>
  <si>
    <t>T009</t>
  </si>
  <si>
    <t>Vivamus Industries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</si>
  <si>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</si>
  <si>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</si>
  <si>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</si>
  <si>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</si>
  <si>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</si>
  <si>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</si>
  <si>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</si>
  <si>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</si>
  <si>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</si>
  <si>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</si>
  <si>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</si>
  <si>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</si>
  <si>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Name</t>
  </si>
  <si>
    <t>Department</t>
  </si>
  <si>
    <t>P0001</t>
  </si>
  <si>
    <t>Finance</t>
  </si>
  <si>
    <t>P0002</t>
  </si>
  <si>
    <t>Marketing</t>
  </si>
  <si>
    <t>P0003</t>
  </si>
  <si>
    <t>Sales</t>
  </si>
  <si>
    <t>P0004</t>
  </si>
  <si>
    <t>P0005</t>
  </si>
  <si>
    <t>Ashley Workman</t>
  </si>
  <si>
    <t>Operations</t>
  </si>
  <si>
    <t>P0006</t>
  </si>
  <si>
    <t>Avye Kelly</t>
  </si>
  <si>
    <t>IT</t>
  </si>
  <si>
    <t>P0007</t>
  </si>
  <si>
    <t>P0008</t>
  </si>
  <si>
    <t>P0009</t>
  </si>
  <si>
    <t>P0010</t>
  </si>
  <si>
    <t>Basia Davidhall</t>
  </si>
  <si>
    <t>P0011</t>
  </si>
  <si>
    <t>P0012</t>
  </si>
  <si>
    <t>P0013</t>
  </si>
  <si>
    <t>Bruce Daily</t>
  </si>
  <si>
    <t>P0014</t>
  </si>
  <si>
    <t>P0015</t>
  </si>
  <si>
    <t>Callie Jefferson</t>
  </si>
  <si>
    <t>P0016</t>
  </si>
  <si>
    <t>P0017</t>
  </si>
  <si>
    <t>HR</t>
  </si>
  <si>
    <t>P0018</t>
  </si>
  <si>
    <t>P0019</t>
  </si>
  <si>
    <t>P0020</t>
  </si>
  <si>
    <t>P0021</t>
  </si>
  <si>
    <t>P0022</t>
  </si>
  <si>
    <t>P0023</t>
  </si>
  <si>
    <t>Conan Lopez</t>
  </si>
  <si>
    <t>P0024</t>
  </si>
  <si>
    <t>P0025</t>
  </si>
  <si>
    <t>P0026</t>
  </si>
  <si>
    <t>P0027</t>
  </si>
  <si>
    <t>Edan Barton</t>
  </si>
  <si>
    <t>P0028</t>
  </si>
  <si>
    <t>P0029</t>
  </si>
  <si>
    <t>Edward Green</t>
  </si>
  <si>
    <t>P0030</t>
  </si>
  <si>
    <t>P0031</t>
  </si>
  <si>
    <t>Emmanuel Maldonado</t>
  </si>
  <si>
    <t>P0032</t>
  </si>
  <si>
    <t>Felicity Gross</t>
  </si>
  <si>
    <t>P0033</t>
  </si>
  <si>
    <t>George Mahood</t>
  </si>
  <si>
    <t>P0034</t>
  </si>
  <si>
    <t>P0035</t>
  </si>
  <si>
    <t>P0036</t>
  </si>
  <si>
    <t>Guinevere Reilly</t>
  </si>
  <si>
    <t>P0037</t>
  </si>
  <si>
    <t>P0038</t>
  </si>
  <si>
    <t>P0039</t>
  </si>
  <si>
    <t>P0040</t>
  </si>
  <si>
    <t>P0041</t>
  </si>
  <si>
    <t>Ira Lynch</t>
  </si>
  <si>
    <t>P0042</t>
  </si>
  <si>
    <t>P0043</t>
  </si>
  <si>
    <t>P0044</t>
  </si>
  <si>
    <t>P0045</t>
  </si>
  <si>
    <t>P0046</t>
  </si>
  <si>
    <t>Jordan Sheldon</t>
  </si>
  <si>
    <t>P0047</t>
  </si>
  <si>
    <t>Joseph Forest</t>
  </si>
  <si>
    <t>P0048</t>
  </si>
  <si>
    <t>Joseph Woods</t>
  </si>
  <si>
    <t>P0049</t>
  </si>
  <si>
    <t>P0050</t>
  </si>
  <si>
    <t>Kamala Pope</t>
  </si>
  <si>
    <t>P0051</t>
  </si>
  <si>
    <t>Kamara Gallagher</t>
  </si>
  <si>
    <t>P0052</t>
  </si>
  <si>
    <t>P0053</t>
  </si>
  <si>
    <t>P0054</t>
  </si>
  <si>
    <t>P0055</t>
  </si>
  <si>
    <t>P0056</t>
  </si>
  <si>
    <t>P0057</t>
  </si>
  <si>
    <t>Kellie Ferriss</t>
  </si>
  <si>
    <t>P0058</t>
  </si>
  <si>
    <t>P0059</t>
  </si>
  <si>
    <t>Kieran William</t>
  </si>
  <si>
    <t>P0060</t>
  </si>
  <si>
    <t>P0061</t>
  </si>
  <si>
    <t>Kyla Arrows</t>
  </si>
  <si>
    <t>P0062</t>
  </si>
  <si>
    <t>P0063</t>
  </si>
  <si>
    <t>Lance Kirkland</t>
  </si>
  <si>
    <t>P0064</t>
  </si>
  <si>
    <t>P0065</t>
  </si>
  <si>
    <t>Lira Inch</t>
  </si>
  <si>
    <t>P0066</t>
  </si>
  <si>
    <t>P0067</t>
  </si>
  <si>
    <t>P0068</t>
  </si>
  <si>
    <t>P0069</t>
  </si>
  <si>
    <t>P0070</t>
  </si>
  <si>
    <t>Nehru Acosta</t>
  </si>
  <si>
    <t>P0071</t>
  </si>
  <si>
    <t>Nicole Davidson</t>
  </si>
  <si>
    <t>P0072</t>
  </si>
  <si>
    <t>P0073</t>
  </si>
  <si>
    <t>P0074</t>
  </si>
  <si>
    <t>P0075</t>
  </si>
  <si>
    <t>Patricia Schmidt</t>
  </si>
  <si>
    <t>P0076</t>
  </si>
  <si>
    <t>P0077</t>
  </si>
  <si>
    <t>P0078</t>
  </si>
  <si>
    <t>P0079</t>
  </si>
  <si>
    <t>Quamar Ramos</t>
  </si>
  <si>
    <t>P0080</t>
  </si>
  <si>
    <t>P0081</t>
  </si>
  <si>
    <t>P0082</t>
  </si>
  <si>
    <t>P0083</t>
  </si>
  <si>
    <t>P0084</t>
  </si>
  <si>
    <t>P0085</t>
  </si>
  <si>
    <t>Salvador Small</t>
  </si>
  <si>
    <t>P0086</t>
  </si>
  <si>
    <t>Smith Burke</t>
  </si>
  <si>
    <t>P0087</t>
  </si>
  <si>
    <t>Stone Meadows</t>
  </si>
  <si>
    <t>P0088</t>
  </si>
  <si>
    <t>P0089</t>
  </si>
  <si>
    <t>Sylvester Pittman</t>
  </si>
  <si>
    <t>P0090</t>
  </si>
  <si>
    <t>Tara Armstrong</t>
  </si>
  <si>
    <t>P0091</t>
  </si>
  <si>
    <t>P0092</t>
  </si>
  <si>
    <t>Tim Burke</t>
  </si>
  <si>
    <t>P0093</t>
  </si>
  <si>
    <t>P0094</t>
  </si>
  <si>
    <t>P0095</t>
  </si>
  <si>
    <t>Wesley Snyder</t>
  </si>
  <si>
    <t>P0096</t>
  </si>
  <si>
    <t>P0097</t>
  </si>
  <si>
    <t>Yeo Garrison</t>
  </si>
  <si>
    <t>P0098</t>
  </si>
  <si>
    <t>Yoshio Nudge</t>
  </si>
  <si>
    <t>P0099</t>
  </si>
  <si>
    <t>P0100</t>
  </si>
  <si>
    <t>Row Labels</t>
  </si>
  <si>
    <t>Grand Total</t>
  </si>
  <si>
    <t>Count of Name</t>
  </si>
  <si>
    <t>Ratings Unavailable</t>
  </si>
  <si>
    <t>Years</t>
  </si>
  <si>
    <t>NOTE:</t>
  </si>
  <si>
    <t>2. From 150 items,4 entries were deleted because of duplicates.</t>
  </si>
  <si>
    <t>Select Year</t>
  </si>
  <si>
    <t>vs. last period</t>
  </si>
  <si>
    <t>Total Participants</t>
  </si>
  <si>
    <t>Occupancy Rate</t>
  </si>
  <si>
    <t>Total Training Hours</t>
  </si>
  <si>
    <t>Training Cost</t>
  </si>
  <si>
    <t>DEPARTMENT</t>
  </si>
  <si>
    <t>Year Only</t>
  </si>
  <si>
    <t>TRAINING LIST</t>
  </si>
  <si>
    <t>EMP TRAINING TRACKER</t>
  </si>
  <si>
    <t>EMP LIST</t>
  </si>
  <si>
    <t>TRAINING DATE</t>
  </si>
  <si>
    <t>DURATION</t>
  </si>
  <si>
    <t>Training Name</t>
  </si>
  <si>
    <t xml:space="preserve">Training Capacity </t>
  </si>
  <si>
    <t>Actual Number of Participants</t>
  </si>
  <si>
    <t>Year</t>
  </si>
  <si>
    <t>2015</t>
  </si>
  <si>
    <t>2016</t>
  </si>
  <si>
    <t>Ratings</t>
  </si>
  <si>
    <t>Unrated</t>
  </si>
  <si>
    <t>Fiscal Year</t>
  </si>
  <si>
    <t>Training Capacity</t>
  </si>
  <si>
    <t xml:space="preserve">Occupancy Rate </t>
  </si>
  <si>
    <t>Training Hours</t>
  </si>
  <si>
    <t>Sum of Actual Number of Participants</t>
  </si>
  <si>
    <t xml:space="preserve">Sum of Training Capacity </t>
  </si>
  <si>
    <t>TRAINING INFO SUMMARY</t>
  </si>
  <si>
    <t>1. The original file has incomplete data like in Feedback Ratings column. I replaced the blank cells into "Unrated" so my analysis become meaningful.</t>
  </si>
  <si>
    <t>Count of Person Name</t>
  </si>
  <si>
    <t xml:space="preserve">3. The final status column is excluded from the analysis as the training capacity versus the actual participants did not all match. </t>
  </si>
  <si>
    <t>Actual Number of Participants
(Employee per Program)</t>
  </si>
  <si>
    <t>Training Cost - % change</t>
  </si>
  <si>
    <t>Training Cost - current year</t>
  </si>
  <si>
    <t>Training Cost - previous year</t>
  </si>
  <si>
    <t>All</t>
  </si>
  <si>
    <t>Total Training Hours - % change</t>
  </si>
  <si>
    <t>Total Training Hours - current year</t>
  </si>
  <si>
    <t>Total Training Hours  - previous year</t>
  </si>
  <si>
    <t>Total Participants - % change</t>
  </si>
  <si>
    <t>Total Participants - current year</t>
  </si>
  <si>
    <t>Total Participants  - previous year</t>
  </si>
  <si>
    <t>Occupancy Rate  - % change</t>
  </si>
  <si>
    <t>Occupancy Rate - current year</t>
  </si>
  <si>
    <t>Occupancy Rate - previous year</t>
  </si>
  <si>
    <t>Participants by Department vs Sum of Training Hours</t>
  </si>
  <si>
    <t>Participants</t>
  </si>
  <si>
    <t>Training Capacity vs Actual Number of Participants</t>
  </si>
  <si>
    <t>SMEs</t>
  </si>
  <si>
    <t>Name of Company</t>
  </si>
  <si>
    <t>Average Ratings</t>
  </si>
  <si>
    <t>Program Count</t>
  </si>
  <si>
    <t>Exceeded</t>
  </si>
  <si>
    <t>Course over capacity tagging is false</t>
  </si>
  <si>
    <t>Please see Calculations tab for more info.</t>
  </si>
  <si>
    <t>Commentary</t>
  </si>
  <si>
    <t xml:space="preserve">As of FYE </t>
  </si>
  <si>
    <t>,</t>
  </si>
  <si>
    <t xml:space="preserve">, participated by </t>
  </si>
  <si>
    <t xml:space="preserve"> the Total Training Hours is </t>
  </si>
  <si>
    <t xml:space="preserve"> employees from different departments </t>
  </si>
  <si>
    <t xml:space="preserve">with </t>
  </si>
  <si>
    <t>ANALYST NOTE:</t>
  </si>
  <si>
    <t>Due to insufficient data from previous and current year, the analyst decided to make a data selection based on the Year only as adding a separate selector like Department will make the dashboard less vibrant and appealing.</t>
  </si>
  <si>
    <t>.</t>
  </si>
  <si>
    <t xml:space="preserve"> Occupancy Rate.</t>
  </si>
  <si>
    <t xml:space="preserve"> Accumulated cost is equal 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</si>
</sst>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[$-3409]mmmm\ dd\,\ yyyy;@"/>
    <numFmt numFmtId="166" formatCode="[$-F800]dddd\,\ mmmm\ dd\,\ yyyy"/>
    <numFmt numFmtId="167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Bahnschrift Light"/>
      <family val="2"/>
    </font>
    <font>
      <sz val="14"/>
      <color rgb="FF000000"/>
      <name val="Bahnschrift Light"/>
      <family val="2"/>
    </font>
    <font>
      <sz val="16"/>
      <color theme="1"/>
      <name val="Bahnschrift Light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name val="Calibri"/>
      <family val="2"/>
      <scheme val="minor"/>
    </font>
    <font>
      <sz val="12"/>
      <color theme="1"/>
      <name val="Bahnschrift Light"/>
      <family val="2"/>
    </font>
    <font>
      <sz val="16"/>
      <color theme="7"/>
      <name val="Bahnschrift Light"/>
      <family val="2"/>
    </font>
    <font>
      <sz val="28"/>
      <color theme="1"/>
      <name val="Bahnschrift Light"/>
      <family val="2"/>
    </font>
    <font>
      <sz val="72"/>
      <color theme="1"/>
      <name val="Calibri"/>
      <family val="2"/>
      <scheme val="minor"/>
    </font>
    <font>
      <sz val="55"/>
      <color theme="1"/>
      <name val="Calibri"/>
      <family val="2"/>
      <scheme val="minor"/>
    </font>
    <font>
      <sz val="6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 style="thin">
        <color theme="6"/>
      </right>
      <top/>
      <bottom style="thin">
        <color theme="6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6"/>
      </left>
      <right style="thin">
        <color theme="6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6" tint="0.79998168889431442"/>
      </right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/>
      <right/>
      <top/>
      <bottom style="thin">
        <color theme="2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30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 vertical="center"/>
    </xf>
    <xf numFmtId="165" fontId="0" fillId="2" borderId="1" xfId="0" applyNumberFormat="1" applyFill="1" applyBorder="1"/>
    <xf numFmtId="0" fontId="2" fillId="0" borderId="0" xfId="0" applyFont="1"/>
    <xf numFmtId="0" fontId="0" fillId="3" borderId="6" xfId="0" applyFill="1" applyBorder="1"/>
    <xf numFmtId="165" fontId="0" fillId="2" borderId="1" xfId="0" applyNumberFormat="1" applyFill="1" applyBorder="1" applyAlignment="1">
      <alignment horizontal="center" vertical="center"/>
    </xf>
    <xf numFmtId="166" fontId="0" fillId="0" borderId="1" xfId="0" applyNumberFormat="1" applyBorder="1"/>
    <xf numFmtId="166" fontId="0" fillId="5" borderId="1" xfId="0" applyNumberFormat="1" applyFill="1" applyBorder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0" xfId="0" applyNumberFormat="1"/>
    <xf numFmtId="164" fontId="0" fillId="2" borderId="1" xfId="1" applyFont="1" applyFill="1" applyBorder="1" applyAlignment="1">
      <alignment horizontal="center" vertical="center"/>
    </xf>
    <xf numFmtId="0" fontId="0" fillId="3" borderId="14" xfId="0" applyFill="1" applyBorder="1"/>
    <xf numFmtId="0" fontId="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164" fontId="0" fillId="0" borderId="1" xfId="1" applyFont="1" applyBorder="1" applyAlignment="1">
      <alignment horizontal="right"/>
    </xf>
    <xf numFmtId="10" fontId="0" fillId="0" borderId="1" xfId="0" applyNumberFormat="1" applyBorder="1"/>
    <xf numFmtId="0" fontId="8" fillId="8" borderId="12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11" fillId="2" borderId="0" xfId="0" applyFont="1" applyFill="1"/>
    <xf numFmtId="0" fontId="0" fillId="2" borderId="1" xfId="0" applyFill="1" applyBorder="1" applyAlignment="1">
      <alignment horizontal="center" vertical="center"/>
    </xf>
    <xf numFmtId="0" fontId="0" fillId="3" borderId="8" xfId="0" applyFill="1" applyBorder="1"/>
    <xf numFmtId="0" fontId="0" fillId="3" borderId="9" xfId="0" applyFill="1" applyBorder="1"/>
    <xf numFmtId="0" fontId="6" fillId="3" borderId="0" xfId="0" applyFont="1" applyFill="1" applyAlignment="1">
      <alignment vertical="center"/>
    </xf>
    <xf numFmtId="164" fontId="0" fillId="0" borderId="1" xfId="1" applyFont="1" applyBorder="1"/>
    <xf numFmtId="0" fontId="0" fillId="0" borderId="0" xfId="0" applyAlignment="1">
      <alignment horizontal="right"/>
    </xf>
    <xf numFmtId="10" fontId="12" fillId="3" borderId="2" xfId="0" applyNumberFormat="1" applyFont="1" applyFill="1" applyBorder="1" applyAlignment="1">
      <alignment vertical="top"/>
    </xf>
    <xf numFmtId="0" fontId="0" fillId="10" borderId="1" xfId="0" applyFill="1" applyBorder="1"/>
    <xf numFmtId="9" fontId="0" fillId="10" borderId="1" xfId="2" applyFont="1" applyFill="1" applyBorder="1"/>
    <xf numFmtId="0" fontId="1" fillId="10" borderId="1" xfId="0" applyFont="1" applyFill="1" applyBorder="1"/>
    <xf numFmtId="0" fontId="0" fillId="10" borderId="1" xfId="0" applyFill="1" applyBorder="1" applyAlignment="1">
      <alignment horizontal="right"/>
    </xf>
    <xf numFmtId="0" fontId="0" fillId="3" borderId="18" xfId="0" applyFill="1" applyBorder="1"/>
    <xf numFmtId="0" fontId="1" fillId="0" borderId="0" xfId="0" applyFont="1"/>
    <xf numFmtId="0" fontId="0" fillId="0" borderId="19" xfId="0" applyBorder="1"/>
    <xf numFmtId="0" fontId="0" fillId="0" borderId="19" xfId="0" applyBorder="1" applyAlignment="1">
      <alignment horizontal="left" vertical="top" wrapText="1"/>
    </xf>
    <xf numFmtId="0" fontId="0" fillId="0" borderId="19" xfId="0" applyBorder="1" applyAlignment="1">
      <alignment horizontal="left" vertical="top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0" fillId="0" borderId="22" xfId="0" applyBorder="1"/>
    <xf numFmtId="0" fontId="0" fillId="0" borderId="22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horizontal="left" vertical="top"/>
    </xf>
    <xf numFmtId="2" fontId="0" fillId="0" borderId="22" xfId="0" applyNumberForma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6" borderId="0" xfId="0" applyFill="1"/>
    <xf numFmtId="0" fontId="0" fillId="9" borderId="0" xfId="0" applyFill="1"/>
    <xf numFmtId="0" fontId="2" fillId="0" borderId="29" xfId="0" applyFont="1" applyBorder="1"/>
    <xf numFmtId="0" fontId="0" fillId="5" borderId="0" xfId="0" applyFill="1" applyAlignment="1">
      <alignment horizontal="left" vertical="top"/>
    </xf>
    <xf numFmtId="0" fontId="19" fillId="0" borderId="0" xfId="0" applyFont="1" applyAlignment="1">
      <alignment horizontal="left" vertical="top"/>
    </xf>
    <xf numFmtId="10" fontId="0" fillId="0" borderId="0" xfId="2" applyNumberFormat="1" applyFont="1" applyAlignment="1">
      <alignment horizontal="left" vertical="top"/>
    </xf>
    <xf numFmtId="2" fontId="19" fillId="0" borderId="0" xfId="0" applyNumberFormat="1" applyFont="1" applyAlignment="1">
      <alignment horizontal="left" vertical="top"/>
    </xf>
    <xf numFmtId="164" fontId="0" fillId="0" borderId="0" xfId="0" applyNumberFormat="1"/>
    <xf numFmtId="0" fontId="8" fillId="8" borderId="16" xfId="0" applyFont="1" applyFill="1" applyBorder="1" applyAlignment="1">
      <alignment horizontal="center"/>
    </xf>
    <xf numFmtId="0" fontId="8" fillId="8" borderId="17" xfId="0" applyFont="1" applyFill="1" applyBorder="1" applyAlignment="1">
      <alignment horizontal="center"/>
    </xf>
    <xf numFmtId="0" fontId="8" fillId="8" borderId="15" xfId="0" applyFont="1" applyFill="1" applyBorder="1" applyAlignment="1">
      <alignment horizontal="center"/>
    </xf>
    <xf numFmtId="0" fontId="8" fillId="8" borderId="10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2" fontId="14" fillId="3" borderId="0" xfId="0" applyNumberFormat="1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0" fontId="14" fillId="3" borderId="0" xfId="0" applyNumberFormat="1" applyFont="1" applyFill="1" applyAlignment="1">
      <alignment horizontal="center" vertical="center"/>
    </xf>
    <xf numFmtId="10" fontId="14" fillId="3" borderId="6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10" fontId="16" fillId="3" borderId="3" xfId="0" applyNumberFormat="1" applyFont="1" applyFill="1" applyBorder="1" applyAlignment="1">
      <alignment horizontal="center" vertical="center"/>
    </xf>
    <xf numFmtId="10" fontId="16" fillId="3" borderId="4" xfId="0" applyNumberFormat="1" applyFont="1" applyFill="1" applyBorder="1" applyAlignment="1">
      <alignment horizontal="center" vertical="center"/>
    </xf>
    <xf numFmtId="10" fontId="16" fillId="3" borderId="5" xfId="0" applyNumberFormat="1" applyFont="1" applyFill="1" applyBorder="1" applyAlignment="1">
      <alignment horizontal="center" vertical="center"/>
    </xf>
    <xf numFmtId="10" fontId="16" fillId="3" borderId="2" xfId="0" applyNumberFormat="1" applyFont="1" applyFill="1" applyBorder="1" applyAlignment="1">
      <alignment horizontal="center" vertical="center"/>
    </xf>
    <xf numFmtId="10" fontId="16" fillId="3" borderId="0" xfId="0" applyNumberFormat="1" applyFont="1" applyFill="1" applyAlignment="1">
      <alignment horizontal="center" vertical="center"/>
    </xf>
    <xf numFmtId="10" fontId="16" fillId="3" borderId="6" xfId="0" applyNumberFormat="1" applyFont="1" applyFill="1" applyBorder="1" applyAlignment="1">
      <alignment horizontal="center" vertical="center"/>
    </xf>
    <xf numFmtId="167" fontId="17" fillId="3" borderId="3" xfId="1" applyNumberFormat="1" applyFont="1" applyFill="1" applyBorder="1" applyAlignment="1">
      <alignment horizontal="center" vertical="center"/>
    </xf>
    <xf numFmtId="167" fontId="17" fillId="3" borderId="4" xfId="1" applyNumberFormat="1" applyFont="1" applyFill="1" applyBorder="1" applyAlignment="1">
      <alignment horizontal="center" vertical="center"/>
    </xf>
    <xf numFmtId="167" fontId="17" fillId="3" borderId="5" xfId="1" applyNumberFormat="1" applyFont="1" applyFill="1" applyBorder="1" applyAlignment="1">
      <alignment horizontal="center" vertical="center"/>
    </xf>
    <xf numFmtId="167" fontId="17" fillId="3" borderId="2" xfId="1" applyNumberFormat="1" applyFont="1" applyFill="1" applyBorder="1" applyAlignment="1">
      <alignment horizontal="center" vertical="center"/>
    </xf>
    <xf numFmtId="167" fontId="17" fillId="3" borderId="0" xfId="1" applyNumberFormat="1" applyFont="1" applyFill="1" applyBorder="1" applyAlignment="1">
      <alignment horizontal="center" vertical="center"/>
    </xf>
    <xf numFmtId="167" fontId="17" fillId="3" borderId="6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3" fillId="11" borderId="8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6"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Bahnschrift Light" panose="020B0502040204020203" pitchFamily="34" charset="0"/>
                <a:ea typeface="+mn-ea"/>
                <a:cs typeface="+mn-cs"/>
              </a:defRPr>
            </a:pPr>
            <a:r>
              <a:rPr lang="en-US" b="0">
                <a:solidFill>
                  <a:sysClr val="windowText" lastClr="000000"/>
                </a:solidFill>
                <a:latin typeface="Bahnschrift Light" panose="020B0502040204020203" pitchFamily="34" charset="0"/>
              </a:rPr>
              <a:t>Training</a:t>
            </a:r>
            <a:r>
              <a:rPr lang="en-US" b="0" baseline="0">
                <a:solidFill>
                  <a:sysClr val="windowText" lastClr="000000"/>
                </a:solidFill>
                <a:latin typeface="Bahnschrift Light" panose="020B0502040204020203" pitchFamily="34" charset="0"/>
              </a:rPr>
              <a:t> </a:t>
            </a:r>
            <a:r>
              <a:rPr lang="en-US" b="0">
                <a:solidFill>
                  <a:sysClr val="windowText" lastClr="000000"/>
                </a:solidFill>
                <a:latin typeface="Bahnschrift Light" panose="020B0502040204020203" pitchFamily="34" charset="0"/>
              </a:rPr>
              <a:t>Participants vs. Sum of Training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Bahnschrift Light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'Linked Charts'!$A$4:$B$4</c:f>
              <c:strCache>
                <c:ptCount val="2"/>
                <c:pt idx="0">
                  <c:v>2016</c:v>
                </c:pt>
                <c:pt idx="1">
                  <c:v>Participants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'Linked Charts'!$C$3:$H$3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'Linked Charts'!$C$4:$H$4</c:f>
              <c:numCache>
                <c:formatCode>General</c:formatCode>
                <c:ptCount val="6"/>
                <c:pt idx="0">
                  <c:v>7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B-4AFE-B9CB-D7871F11D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07072624"/>
        <c:axId val="607075536"/>
      </c:barChart>
      <c:lineChart>
        <c:grouping val="standard"/>
        <c:varyColors val="0"/>
        <c:ser>
          <c:idx val="1"/>
          <c:order val="1"/>
          <c:tx>
            <c:strRef>
              <c:f>'Linked Charts'!$A$5:$B$5</c:f>
              <c:strCache>
                <c:ptCount val="2"/>
                <c:pt idx="0">
                  <c:v>2016</c:v>
                </c:pt>
                <c:pt idx="1">
                  <c:v>Training Hours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  <a:tailEnd type="none"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'Linked Charts'!$C$3:$H$3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'Linked Charts'!$C$5:$H$5</c:f>
              <c:numCache>
                <c:formatCode>General</c:formatCode>
                <c:ptCount val="6"/>
                <c:pt idx="0">
                  <c:v>7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1B-4AFE-B9CB-D7871F11D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609712"/>
        <c:axId val="517606800"/>
      </c:lineChart>
      <c:catAx>
        <c:axId val="517609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06800"/>
        <c:crosses val="autoZero"/>
        <c:auto val="1"/>
        <c:lblAlgn val="ctr"/>
        <c:lblOffset val="100"/>
        <c:noMultiLvlLbl val="0"/>
      </c:catAx>
      <c:valAx>
        <c:axId val="51760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Participants /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09712"/>
        <c:crosses val="autoZero"/>
        <c:crossBetween val="between"/>
      </c:valAx>
      <c:valAx>
        <c:axId val="607075536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072624"/>
        <c:crosses val="max"/>
        <c:crossBetween val="between"/>
      </c:valAx>
      <c:catAx>
        <c:axId val="60707262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07075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Bahnschrift Light" panose="020B0502040204020203" pitchFamily="34" charset="0"/>
                <a:ea typeface="+mn-ea"/>
                <a:cs typeface="+mn-cs"/>
              </a:defRPr>
            </a:pPr>
            <a:r>
              <a:rPr lang="en-US" sz="1800" b="0" i="0" baseline="0">
                <a:solidFill>
                  <a:sysClr val="windowText" lastClr="000000"/>
                </a:solidFill>
                <a:effectLst/>
                <a:latin typeface="Bahnschrift Light" panose="020B0502040204020203" pitchFamily="34" charset="0"/>
              </a:rPr>
              <a:t>Training Capacity vs. Actual Number of Participants</a:t>
            </a:r>
            <a:endParaRPr lang="en-US" sz="1600" b="0">
              <a:solidFill>
                <a:sysClr val="windowText" lastClr="000000"/>
              </a:solidFill>
              <a:effectLst/>
              <a:latin typeface="Bahnschrift Ligh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Bahnschrift Light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'Linked Charts'!$C$11</c:f>
              <c:strCache>
                <c:ptCount val="1"/>
                <c:pt idx="0">
                  <c:v>Training Capacity 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val>
            <c:numRef>
              <c:f>'Linked Charts'!$C$12:$C$32</c:f>
              <c:numCache>
                <c:formatCode>General</c:formatCode>
                <c:ptCount val="21"/>
                <c:pt idx="0">
                  <c:v>10</c:v>
                </c:pt>
                <c:pt idx="1">
                  <c:v>5</c:v>
                </c:pt>
                <c:pt idx="2">
                  <c:v>30</c:v>
                </c:pt>
                <c:pt idx="3">
                  <c:v>25</c:v>
                </c:pt>
                <c:pt idx="4">
                  <c:v>20</c:v>
                </c:pt>
                <c:pt idx="5">
                  <c:v>5</c:v>
                </c:pt>
                <c:pt idx="6">
                  <c:v>25</c:v>
                </c:pt>
                <c:pt idx="7">
                  <c:v>15</c:v>
                </c:pt>
                <c:pt idx="8">
                  <c:v>15</c:v>
                </c:pt>
                <c:pt idx="9">
                  <c:v>5</c:v>
                </c:pt>
                <c:pt idx="10">
                  <c:v>20</c:v>
                </c:pt>
                <c:pt idx="11">
                  <c:v>30</c:v>
                </c:pt>
                <c:pt idx="12">
                  <c:v>30</c:v>
                </c:pt>
                <c:pt idx="13">
                  <c:v>20</c:v>
                </c:pt>
                <c:pt idx="14">
                  <c:v>10</c:v>
                </c:pt>
                <c:pt idx="15">
                  <c:v>5</c:v>
                </c:pt>
                <c:pt idx="16">
                  <c:v>30</c:v>
                </c:pt>
                <c:pt idx="17">
                  <c:v>15</c:v>
                </c:pt>
                <c:pt idx="18">
                  <c:v>20</c:v>
                </c:pt>
                <c:pt idx="19">
                  <c:v>30</c:v>
                </c:pt>
                <c:pt idx="2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3-463E-8FEA-DF35EEDB9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00873936"/>
        <c:axId val="600877264"/>
      </c:barChart>
      <c:lineChart>
        <c:grouping val="standard"/>
        <c:varyColors val="0"/>
        <c:ser>
          <c:idx val="1"/>
          <c:order val="1"/>
          <c:tx>
            <c:strRef>
              <c:f>'Linked Charts'!$D$11</c:f>
              <c:strCache>
                <c:ptCount val="1"/>
                <c:pt idx="0">
                  <c:v>Actual Number of Participants
(Employee per Program)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val>
            <c:numRef>
              <c:f>'Linked Charts'!$D$12:$D$32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</c:v>
                </c:pt>
                <c:pt idx="2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AF3-463E-8FEA-DF35EEDB9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878096"/>
        <c:axId val="600873520"/>
      </c:lineChart>
      <c:valAx>
        <c:axId val="6008735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878096"/>
        <c:crosses val="autoZero"/>
        <c:crossBetween val="between"/>
      </c:valAx>
      <c:catAx>
        <c:axId val="60087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Programs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873520"/>
        <c:crosses val="autoZero"/>
        <c:auto val="1"/>
        <c:lblAlgn val="ctr"/>
        <c:lblOffset val="100"/>
        <c:noMultiLvlLbl val="0"/>
      </c:catAx>
      <c:valAx>
        <c:axId val="6008772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873936"/>
        <c:crosses val="max"/>
        <c:crossBetween val="between"/>
      </c:valAx>
      <c:catAx>
        <c:axId val="600873936"/>
        <c:scaling>
          <c:orientation val="minMax"/>
        </c:scaling>
        <c:delete val="1"/>
        <c:axPos val="b"/>
        <c:majorTickMark val="out"/>
        <c:minorTickMark val="none"/>
        <c:tickLblPos val="nextTo"/>
        <c:crossAx val="600877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Light" panose="020B0502040204020203" pitchFamily="34" charset="0"/>
                <a:ea typeface="+mn-ea"/>
                <a:cs typeface="+mn-cs"/>
              </a:defRPr>
            </a:pPr>
            <a:r>
              <a:rPr lang="en-US">
                <a:latin typeface="Bahnschrift Light" panose="020B0502040204020203" pitchFamily="34" charset="0"/>
              </a:rPr>
              <a:t>Ratings by Program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 Light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'Linked Charts'!$C$37</c:f>
              <c:strCache>
                <c:ptCount val="1"/>
                <c:pt idx="0">
                  <c:v>1 - Disaster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'Linked Charts'!$A$38:$B$59</c:f>
              <c:strCache>
                <c:ptCount val="22"/>
                <c:pt idx="1">
                  <c:v>Basic Sales Skills</c:v>
                </c:pt>
                <c:pt idx="2">
                  <c:v>Basic Project Management Methods</c:v>
                </c:pt>
                <c:pt idx="3">
                  <c:v>Basic People Management Techniques</c:v>
                </c:pt>
                <c:pt idx="4">
                  <c:v>Basic People Management Skills</c:v>
                </c:pt>
                <c:pt idx="5">
                  <c:v>Basic People Management Methods</c:v>
                </c:pt>
                <c:pt idx="6">
                  <c:v>Basic IT Methods</c:v>
                </c:pt>
                <c:pt idx="7">
                  <c:v>Basic Business Skills</c:v>
                </c:pt>
                <c:pt idx="8">
                  <c:v>Basic Advertising Techniques</c:v>
                </c:pt>
                <c:pt idx="9">
                  <c:v>Basic Advertising Skills</c:v>
                </c:pt>
                <c:pt idx="10">
                  <c:v>Basic Advertising Methods</c:v>
                </c:pt>
                <c:pt idx="11">
                  <c:v>Advanced Sales Techniques</c:v>
                </c:pt>
                <c:pt idx="12">
                  <c:v>Advanced Sales Methods</c:v>
                </c:pt>
                <c:pt idx="13">
                  <c:v>Advanced Project Management Skills</c:v>
                </c:pt>
                <c:pt idx="14">
                  <c:v>Advanced People Management Techniques</c:v>
                </c:pt>
                <c:pt idx="15">
                  <c:v>Advanced People Management Skills</c:v>
                </c:pt>
                <c:pt idx="16">
                  <c:v>Advanced People Management Methods</c:v>
                </c:pt>
                <c:pt idx="17">
                  <c:v>Advanced IT Techniques</c:v>
                </c:pt>
                <c:pt idx="18">
                  <c:v>Advanced IT Skills</c:v>
                </c:pt>
                <c:pt idx="19">
                  <c:v>Advanced Business Techniques</c:v>
                </c:pt>
                <c:pt idx="20">
                  <c:v>Advanced Business Methods</c:v>
                </c:pt>
                <c:pt idx="21">
                  <c:v>Advanced Advertising Skills</c:v>
                </c:pt>
              </c:strCache>
            </c:strRef>
          </c:cat>
          <c:val>
            <c:numRef>
              <c:f>'Linked Charts'!$C$38:$C$59</c:f>
              <c:numCache>
                <c:formatCode>General</c:formatCode>
                <c:ptCount val="2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5-40C5-945C-45342DC02928}"/>
            </c:ext>
          </c:extLst>
        </c:ser>
        <c:ser>
          <c:idx val="1"/>
          <c:order val="1"/>
          <c:tx>
            <c:strRef>
              <c:f>'Linked Charts'!$D$37</c:f>
              <c:strCache>
                <c:ptCount val="1"/>
                <c:pt idx="0">
                  <c:v>2 - Not happy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f>'Linked Charts'!$A$38:$B$59</c:f>
              <c:strCache>
                <c:ptCount val="22"/>
                <c:pt idx="1">
                  <c:v>Basic Sales Skills</c:v>
                </c:pt>
                <c:pt idx="2">
                  <c:v>Basic Project Management Methods</c:v>
                </c:pt>
                <c:pt idx="3">
                  <c:v>Basic People Management Techniques</c:v>
                </c:pt>
                <c:pt idx="4">
                  <c:v>Basic People Management Skills</c:v>
                </c:pt>
                <c:pt idx="5">
                  <c:v>Basic People Management Methods</c:v>
                </c:pt>
                <c:pt idx="6">
                  <c:v>Basic IT Methods</c:v>
                </c:pt>
                <c:pt idx="7">
                  <c:v>Basic Business Skills</c:v>
                </c:pt>
                <c:pt idx="8">
                  <c:v>Basic Advertising Techniques</c:v>
                </c:pt>
                <c:pt idx="9">
                  <c:v>Basic Advertising Skills</c:v>
                </c:pt>
                <c:pt idx="10">
                  <c:v>Basic Advertising Methods</c:v>
                </c:pt>
                <c:pt idx="11">
                  <c:v>Advanced Sales Techniques</c:v>
                </c:pt>
                <c:pt idx="12">
                  <c:v>Advanced Sales Methods</c:v>
                </c:pt>
                <c:pt idx="13">
                  <c:v>Advanced Project Management Skills</c:v>
                </c:pt>
                <c:pt idx="14">
                  <c:v>Advanced People Management Techniques</c:v>
                </c:pt>
                <c:pt idx="15">
                  <c:v>Advanced People Management Skills</c:v>
                </c:pt>
                <c:pt idx="16">
                  <c:v>Advanced People Management Methods</c:v>
                </c:pt>
                <c:pt idx="17">
                  <c:v>Advanced IT Techniques</c:v>
                </c:pt>
                <c:pt idx="18">
                  <c:v>Advanced IT Skills</c:v>
                </c:pt>
                <c:pt idx="19">
                  <c:v>Advanced Business Techniques</c:v>
                </c:pt>
                <c:pt idx="20">
                  <c:v>Advanced Business Methods</c:v>
                </c:pt>
                <c:pt idx="21">
                  <c:v>Advanced Advertising Skills</c:v>
                </c:pt>
              </c:strCache>
            </c:strRef>
          </c:cat>
          <c:val>
            <c:numRef>
              <c:f>'Linked Charts'!$D$38:$D$59</c:f>
              <c:numCache>
                <c:formatCode>General</c:formatCode>
                <c:ptCount val="2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55-40C5-945C-45342DC02928}"/>
            </c:ext>
          </c:extLst>
        </c:ser>
        <c:ser>
          <c:idx val="2"/>
          <c:order val="2"/>
          <c:tx>
            <c:strRef>
              <c:f>'Linked Charts'!$E$37</c:f>
              <c:strCache>
                <c:ptCount val="1"/>
                <c:pt idx="0">
                  <c:v>3 - Average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'Linked Charts'!$A$38:$B$59</c:f>
              <c:strCache>
                <c:ptCount val="22"/>
                <c:pt idx="1">
                  <c:v>Basic Sales Skills</c:v>
                </c:pt>
                <c:pt idx="2">
                  <c:v>Basic Project Management Methods</c:v>
                </c:pt>
                <c:pt idx="3">
                  <c:v>Basic People Management Techniques</c:v>
                </c:pt>
                <c:pt idx="4">
                  <c:v>Basic People Management Skills</c:v>
                </c:pt>
                <c:pt idx="5">
                  <c:v>Basic People Management Methods</c:v>
                </c:pt>
                <c:pt idx="6">
                  <c:v>Basic IT Methods</c:v>
                </c:pt>
                <c:pt idx="7">
                  <c:v>Basic Business Skills</c:v>
                </c:pt>
                <c:pt idx="8">
                  <c:v>Basic Advertising Techniques</c:v>
                </c:pt>
                <c:pt idx="9">
                  <c:v>Basic Advertising Skills</c:v>
                </c:pt>
                <c:pt idx="10">
                  <c:v>Basic Advertising Methods</c:v>
                </c:pt>
                <c:pt idx="11">
                  <c:v>Advanced Sales Techniques</c:v>
                </c:pt>
                <c:pt idx="12">
                  <c:v>Advanced Sales Methods</c:v>
                </c:pt>
                <c:pt idx="13">
                  <c:v>Advanced Project Management Skills</c:v>
                </c:pt>
                <c:pt idx="14">
                  <c:v>Advanced People Management Techniques</c:v>
                </c:pt>
                <c:pt idx="15">
                  <c:v>Advanced People Management Skills</c:v>
                </c:pt>
                <c:pt idx="16">
                  <c:v>Advanced People Management Methods</c:v>
                </c:pt>
                <c:pt idx="17">
                  <c:v>Advanced IT Techniques</c:v>
                </c:pt>
                <c:pt idx="18">
                  <c:v>Advanced IT Skills</c:v>
                </c:pt>
                <c:pt idx="19">
                  <c:v>Advanced Business Techniques</c:v>
                </c:pt>
                <c:pt idx="20">
                  <c:v>Advanced Business Methods</c:v>
                </c:pt>
                <c:pt idx="21">
                  <c:v>Advanced Advertising Skills</c:v>
                </c:pt>
              </c:strCache>
            </c:strRef>
          </c:cat>
          <c:val>
            <c:numRef>
              <c:f>'Linked Charts'!$E$38:$E$59</c:f>
              <c:numCache>
                <c:formatCode>General</c:formatCode>
                <c:ptCount val="2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55-40C5-945C-45342DC02928}"/>
            </c:ext>
          </c:extLst>
        </c:ser>
        <c:ser>
          <c:idx val="3"/>
          <c:order val="3"/>
          <c:tx>
            <c:strRef>
              <c:f>'Linked Charts'!$F$37</c:f>
              <c:strCache>
                <c:ptCount val="1"/>
                <c:pt idx="0">
                  <c:v>4 - Happy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cat>
            <c:strRef>
              <c:f>'Linked Charts'!$A$38:$B$59</c:f>
              <c:strCache>
                <c:ptCount val="22"/>
                <c:pt idx="1">
                  <c:v>Basic Sales Skills</c:v>
                </c:pt>
                <c:pt idx="2">
                  <c:v>Basic Project Management Methods</c:v>
                </c:pt>
                <c:pt idx="3">
                  <c:v>Basic People Management Techniques</c:v>
                </c:pt>
                <c:pt idx="4">
                  <c:v>Basic People Management Skills</c:v>
                </c:pt>
                <c:pt idx="5">
                  <c:v>Basic People Management Methods</c:v>
                </c:pt>
                <c:pt idx="6">
                  <c:v>Basic IT Methods</c:v>
                </c:pt>
                <c:pt idx="7">
                  <c:v>Basic Business Skills</c:v>
                </c:pt>
                <c:pt idx="8">
                  <c:v>Basic Advertising Techniques</c:v>
                </c:pt>
                <c:pt idx="9">
                  <c:v>Basic Advertising Skills</c:v>
                </c:pt>
                <c:pt idx="10">
                  <c:v>Basic Advertising Methods</c:v>
                </c:pt>
                <c:pt idx="11">
                  <c:v>Advanced Sales Techniques</c:v>
                </c:pt>
                <c:pt idx="12">
                  <c:v>Advanced Sales Methods</c:v>
                </c:pt>
                <c:pt idx="13">
                  <c:v>Advanced Project Management Skills</c:v>
                </c:pt>
                <c:pt idx="14">
                  <c:v>Advanced People Management Techniques</c:v>
                </c:pt>
                <c:pt idx="15">
                  <c:v>Advanced People Management Skills</c:v>
                </c:pt>
                <c:pt idx="16">
                  <c:v>Advanced People Management Methods</c:v>
                </c:pt>
                <c:pt idx="17">
                  <c:v>Advanced IT Techniques</c:v>
                </c:pt>
                <c:pt idx="18">
                  <c:v>Advanced IT Skills</c:v>
                </c:pt>
                <c:pt idx="19">
                  <c:v>Advanced Business Techniques</c:v>
                </c:pt>
                <c:pt idx="20">
                  <c:v>Advanced Business Methods</c:v>
                </c:pt>
                <c:pt idx="21">
                  <c:v>Advanced Advertising Skills</c:v>
                </c:pt>
              </c:strCache>
            </c:strRef>
          </c:cat>
          <c:val>
            <c:numRef>
              <c:f>'Linked Charts'!$F$38:$F$59</c:f>
              <c:numCache>
                <c:formatCode>General</c:formatCode>
                <c:ptCount val="2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55-40C5-945C-45342DC02928}"/>
            </c:ext>
          </c:extLst>
        </c:ser>
        <c:ser>
          <c:idx val="4"/>
          <c:order val="4"/>
          <c:tx>
            <c:strRef>
              <c:f>'Linked Charts'!$G$37</c:f>
              <c:strCache>
                <c:ptCount val="1"/>
                <c:pt idx="0">
                  <c:v>5 - Very happy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'Linked Charts'!$A$38:$B$59</c:f>
              <c:strCache>
                <c:ptCount val="22"/>
                <c:pt idx="1">
                  <c:v>Basic Sales Skills</c:v>
                </c:pt>
                <c:pt idx="2">
                  <c:v>Basic Project Management Methods</c:v>
                </c:pt>
                <c:pt idx="3">
                  <c:v>Basic People Management Techniques</c:v>
                </c:pt>
                <c:pt idx="4">
                  <c:v>Basic People Management Skills</c:v>
                </c:pt>
                <c:pt idx="5">
                  <c:v>Basic People Management Methods</c:v>
                </c:pt>
                <c:pt idx="6">
                  <c:v>Basic IT Methods</c:v>
                </c:pt>
                <c:pt idx="7">
                  <c:v>Basic Business Skills</c:v>
                </c:pt>
                <c:pt idx="8">
                  <c:v>Basic Advertising Techniques</c:v>
                </c:pt>
                <c:pt idx="9">
                  <c:v>Basic Advertising Skills</c:v>
                </c:pt>
                <c:pt idx="10">
                  <c:v>Basic Advertising Methods</c:v>
                </c:pt>
                <c:pt idx="11">
                  <c:v>Advanced Sales Techniques</c:v>
                </c:pt>
                <c:pt idx="12">
                  <c:v>Advanced Sales Methods</c:v>
                </c:pt>
                <c:pt idx="13">
                  <c:v>Advanced Project Management Skills</c:v>
                </c:pt>
                <c:pt idx="14">
                  <c:v>Advanced People Management Techniques</c:v>
                </c:pt>
                <c:pt idx="15">
                  <c:v>Advanced People Management Skills</c:v>
                </c:pt>
                <c:pt idx="16">
                  <c:v>Advanced People Management Methods</c:v>
                </c:pt>
                <c:pt idx="17">
                  <c:v>Advanced IT Techniques</c:v>
                </c:pt>
                <c:pt idx="18">
                  <c:v>Advanced IT Skills</c:v>
                </c:pt>
                <c:pt idx="19">
                  <c:v>Advanced Business Techniques</c:v>
                </c:pt>
                <c:pt idx="20">
                  <c:v>Advanced Business Methods</c:v>
                </c:pt>
                <c:pt idx="21">
                  <c:v>Advanced Advertising Skills</c:v>
                </c:pt>
              </c:strCache>
            </c:strRef>
          </c:cat>
          <c:val>
            <c:numRef>
              <c:f>'Linked Charts'!$G$38:$G$59</c:f>
              <c:numCache>
                <c:formatCode>General</c:formatCode>
                <c:ptCount val="2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55-40C5-945C-45342DC02928}"/>
            </c:ext>
          </c:extLst>
        </c:ser>
        <c:ser>
          <c:idx val="5"/>
          <c:order val="5"/>
          <c:tx>
            <c:strRef>
              <c:f>'Linked Charts'!$H$37</c:f>
              <c:strCache>
                <c:ptCount val="1"/>
                <c:pt idx="0">
                  <c:v>Unrated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'Linked Charts'!$A$38:$B$59</c:f>
              <c:strCache>
                <c:ptCount val="22"/>
                <c:pt idx="1">
                  <c:v>Basic Sales Skills</c:v>
                </c:pt>
                <c:pt idx="2">
                  <c:v>Basic Project Management Methods</c:v>
                </c:pt>
                <c:pt idx="3">
                  <c:v>Basic People Management Techniques</c:v>
                </c:pt>
                <c:pt idx="4">
                  <c:v>Basic People Management Skills</c:v>
                </c:pt>
                <c:pt idx="5">
                  <c:v>Basic People Management Methods</c:v>
                </c:pt>
                <c:pt idx="6">
                  <c:v>Basic IT Methods</c:v>
                </c:pt>
                <c:pt idx="7">
                  <c:v>Basic Business Skills</c:v>
                </c:pt>
                <c:pt idx="8">
                  <c:v>Basic Advertising Techniques</c:v>
                </c:pt>
                <c:pt idx="9">
                  <c:v>Basic Advertising Skills</c:v>
                </c:pt>
                <c:pt idx="10">
                  <c:v>Basic Advertising Methods</c:v>
                </c:pt>
                <c:pt idx="11">
                  <c:v>Advanced Sales Techniques</c:v>
                </c:pt>
                <c:pt idx="12">
                  <c:v>Advanced Sales Methods</c:v>
                </c:pt>
                <c:pt idx="13">
                  <c:v>Advanced Project Management Skills</c:v>
                </c:pt>
                <c:pt idx="14">
                  <c:v>Advanced People Management Techniques</c:v>
                </c:pt>
                <c:pt idx="15">
                  <c:v>Advanced People Management Skills</c:v>
                </c:pt>
                <c:pt idx="16">
                  <c:v>Advanced People Management Methods</c:v>
                </c:pt>
                <c:pt idx="17">
                  <c:v>Advanced IT Techniques</c:v>
                </c:pt>
                <c:pt idx="18">
                  <c:v>Advanced IT Skills</c:v>
                </c:pt>
                <c:pt idx="19">
                  <c:v>Advanced Business Techniques</c:v>
                </c:pt>
                <c:pt idx="20">
                  <c:v>Advanced Business Methods</c:v>
                </c:pt>
                <c:pt idx="21">
                  <c:v>Advanced Advertising Skills</c:v>
                </c:pt>
              </c:strCache>
            </c:strRef>
          </c:cat>
          <c:val>
            <c:numRef>
              <c:f>'Linked Charts'!$H$38:$H$59</c:f>
              <c:numCache>
                <c:formatCode>General</c:formatCode>
                <c:ptCount val="2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9</c:v>
                </c:pt>
                <c:pt idx="2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55-40C5-945C-45342DC02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2024943"/>
        <c:axId val="1922023279"/>
      </c:barChart>
      <c:catAx>
        <c:axId val="1922024943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Programs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922023279"/>
        <c:crosses val="autoZero"/>
        <c:auto val="1"/>
        <c:lblAlgn val="ctr"/>
        <c:lblOffset val="100"/>
        <c:noMultiLvlLbl val="0"/>
      </c:catAx>
      <c:valAx>
        <c:axId val="192202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Ratings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02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Light" panose="020B0502040204020203" pitchFamily="34" charset="0"/>
                <a:ea typeface="+mn-ea"/>
                <a:cs typeface="+mn-cs"/>
              </a:defRPr>
            </a:pPr>
            <a:r>
              <a:rPr lang="en-US">
                <a:latin typeface="Bahnschrift Light" panose="020B0502040204020203" pitchFamily="34" charset="0"/>
              </a:rPr>
              <a:t>Training</a:t>
            </a:r>
            <a:r>
              <a:rPr lang="en-US" baseline="0">
                <a:latin typeface="Bahnschrift Light" panose="020B0502040204020203" pitchFamily="34" charset="0"/>
              </a:rPr>
              <a:t> Companies vs. Average Ratings</a:t>
            </a:r>
            <a:endParaRPr lang="en-US">
              <a:latin typeface="Bahnschrift Ligh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 Light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'Linked Charts'!$B$64</c:f>
              <c:strCache>
                <c:ptCount val="1"/>
                <c:pt idx="0">
                  <c:v>Program Count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'Linked Charts'!$A$65:$A$73</c:f>
              <c:strCache>
                <c:ptCount val="9"/>
                <c:pt idx="0">
                  <c:v>Eu Dolor Egestas Inc.</c:v>
                </c:pt>
                <c:pt idx="1">
                  <c:v>Morbi Tristique Industries</c:v>
                </c:pt>
                <c:pt idx="2">
                  <c:v>Interdum Company</c:v>
                </c:pt>
                <c:pt idx="3">
                  <c:v>Metus In Nec Foundation</c:v>
                </c:pt>
                <c:pt idx="4">
                  <c:v>Lacus Pede Company</c:v>
                </c:pt>
                <c:pt idx="5">
                  <c:v>Quisque PC</c:v>
                </c:pt>
                <c:pt idx="6">
                  <c:v>Libero At Auctor Associates</c:v>
                </c:pt>
                <c:pt idx="7">
                  <c:v>Nulla Eu Incorporated</c:v>
                </c:pt>
                <c:pt idx="8">
                  <c:v>Vivamus Industries</c:v>
                </c:pt>
              </c:strCache>
            </c:strRef>
          </c:cat>
          <c:val>
            <c:numRef>
              <c:f>'Linked Charts'!$B$65:$B$73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6-4A8F-A34D-EDB602572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93070959"/>
        <c:axId val="1993071375"/>
      </c:barChart>
      <c:lineChart>
        <c:grouping val="standard"/>
        <c:varyColors val="0"/>
        <c:ser>
          <c:idx val="1"/>
          <c:order val="1"/>
          <c:tx>
            <c:strRef>
              <c:f>'Linked Charts'!$D$64</c:f>
              <c:strCache>
                <c:ptCount val="1"/>
                <c:pt idx="0">
                  <c:v>Average Ratings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'Linked Charts'!$A$65:$A$73</c:f>
              <c:strCache>
                <c:ptCount val="9"/>
                <c:pt idx="0">
                  <c:v>Eu Dolor Egestas Inc.</c:v>
                </c:pt>
                <c:pt idx="1">
                  <c:v>Morbi Tristique Industries</c:v>
                </c:pt>
                <c:pt idx="2">
                  <c:v>Interdum Company</c:v>
                </c:pt>
                <c:pt idx="3">
                  <c:v>Metus In Nec Foundation</c:v>
                </c:pt>
                <c:pt idx="4">
                  <c:v>Lacus Pede Company</c:v>
                </c:pt>
                <c:pt idx="5">
                  <c:v>Quisque PC</c:v>
                </c:pt>
                <c:pt idx="6">
                  <c:v>Libero At Auctor Associates</c:v>
                </c:pt>
                <c:pt idx="7">
                  <c:v>Nulla Eu Incorporated</c:v>
                </c:pt>
                <c:pt idx="8">
                  <c:v>Vivamus Industries</c:v>
                </c:pt>
              </c:strCache>
            </c:strRef>
          </c:cat>
          <c:val>
            <c:numRef>
              <c:f>'Linked Charts'!$D$65:$D$85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1.5</c:v>
                </c:pt>
                <c:pt idx="20">
                  <c:v>1.8333333333333333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B6-4A8F-A34D-EDB602572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3070959"/>
        <c:axId val="1993071375"/>
      </c:lineChart>
      <c:catAx>
        <c:axId val="1993070959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993071375"/>
        <c:crosses val="autoZero"/>
        <c:auto val="1"/>
        <c:lblAlgn val="ctr"/>
        <c:lblOffset val="100"/>
        <c:noMultiLvlLbl val="0"/>
      </c:catAx>
      <c:valAx>
        <c:axId val="199307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Program / Ratings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070959"/>
        <c:crosses val="autoZero"/>
        <c:crossBetween val="between"/>
      </c:valAx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319086</xdr:colOff>
      <xdr:row>1</xdr:row>
      <xdr:rowOff>52386</xdr:rowOff>
    </xdr:from>
    <xdr:to>
      <xdr:col>30</xdr:col>
      <xdr:colOff>409575</xdr:colOff>
      <xdr:row>18</xdr:row>
      <xdr:rowOff>95249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0F6F67-7433-4800-9212-688275AF9B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76199</xdr:colOff>
      <xdr:row>1</xdr:row>
      <xdr:rowOff>23811</xdr:rowOff>
    </xdr:from>
    <xdr:to>
      <xdr:col>19</xdr:col>
      <xdr:colOff>561975</xdr:colOff>
      <xdr:row>19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96BBC5-C434-43A2-8B03-9170BF08B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78872</xdr:colOff>
      <xdr:row>20</xdr:row>
      <xdr:rowOff>64562</xdr:rowOff>
    </xdr:from>
    <xdr:to>
      <xdr:col>19</xdr:col>
      <xdr:colOff>576594</xdr:colOff>
      <xdr:row>43</xdr:row>
      <xdr:rowOff>107426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657C9F-DEDE-44B3-A4B6-6B2902EB9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260791</xdr:colOff>
      <xdr:row>20</xdr:row>
      <xdr:rowOff>79559</xdr:rowOff>
    </xdr:from>
    <xdr:to>
      <xdr:col>30</xdr:col>
      <xdr:colOff>585109</xdr:colOff>
      <xdr:row>43</xdr:row>
      <xdr:rowOff>44823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575DF90-7FA3-4707-9D29-C9452DF40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414353</xdr:colOff>
      <xdr:row>0</xdr:row>
      <xdr:rowOff>0</xdr:rowOff>
    </xdr:from>
    <xdr:ext cx="8202946" cy="707951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06ACAAF-B1D8-4347-992B-3B722F12DC7E}"/>
            </a:ext>
          </a:extLst>
        </xdr:cNvPr>
        <xdr:cNvSpPr/>
      </xdr:nvSpPr>
      <xdr:spPr>
        <a:xfrm>
          <a:off x="4045059" y="0"/>
          <a:ext cx="8202946" cy="707951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ctr" rtl="0" eaLnBrk="1" latinLnBrk="0" hangingPunct="1"/>
          <a:r>
            <a:rPr lang="en-US" sz="4000" b="0"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" panose="020B0502040204020203" pitchFamily="34" charset="0"/>
              <a:ea typeface="+mn-ea"/>
              <a:cs typeface="+mn-cs"/>
            </a:rPr>
            <a:t>TRAINING DASHBOARD REPORT</a:t>
          </a:r>
          <a:endParaRPr lang="en-US" sz="19900">
            <a:effectLst/>
            <a:latin typeface="Bahnschrift Light" panose="020B0502040204020203" pitchFamily="34" charset="0"/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557893</xdr:colOff>
          <xdr:row>21</xdr:row>
          <xdr:rowOff>148076</xdr:rowOff>
        </xdr:from>
        <xdr:to>
          <xdr:col>13</xdr:col>
          <xdr:colOff>29324</xdr:colOff>
          <xdr:row>41</xdr:row>
          <xdr:rowOff>13607</xdr:rowOff>
        </xdr:to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BD937448-5E09-4E2B-9D17-2FC1D3B1239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Linked Charts'!$U$2:$AE$20" spid="_x0000_s5628"/>
                </a:ext>
              </a:extLst>
            </xdr:cNvPicPr>
          </xdr:nvPicPr>
          <xdr:blipFill rotWithShape="1">
            <a:blip xmlns:r="http://schemas.openxmlformats.org/officeDocument/2006/relationships" r:embed="rId1"/>
            <a:srcRect l="5145" t="3026" r="5085" b="9896"/>
            <a:stretch>
              <a:fillRect/>
            </a:stretch>
          </xdr:blipFill>
          <xdr:spPr bwMode="auto">
            <a:xfrm>
              <a:off x="1170214" y="4284647"/>
              <a:ext cx="6819289" cy="367553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chemeClr val="bg2">
                  <a:lumMod val="75000"/>
                </a:schemeClr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544285</xdr:colOff>
          <xdr:row>21</xdr:row>
          <xdr:rowOff>149678</xdr:rowOff>
        </xdr:from>
        <xdr:to>
          <xdr:col>25</xdr:col>
          <xdr:colOff>199772</xdr:colOff>
          <xdr:row>41</xdr:row>
          <xdr:rowOff>27214</xdr:rowOff>
        </xdr:to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6A1095CA-BCA4-44D8-822B-478699A48E9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Linked Charts'!$I$2:$T$21" spid="_x0000_s5629"/>
                </a:ext>
              </a:extLst>
            </xdr:cNvPicPr>
          </xdr:nvPicPr>
          <xdr:blipFill rotWithShape="1">
            <a:blip xmlns:r="http://schemas.openxmlformats.org/officeDocument/2006/relationships" r:embed="rId2"/>
            <a:srcRect l="10967" t="2173" r="1923" b="9476"/>
            <a:stretch>
              <a:fillRect/>
            </a:stretch>
          </xdr:blipFill>
          <xdr:spPr bwMode="auto">
            <a:xfrm>
              <a:off x="8504464" y="4435928"/>
              <a:ext cx="7003344" cy="368753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chemeClr val="bg2">
                  <a:lumMod val="75000"/>
                </a:schemeClr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530680</xdr:colOff>
          <xdr:row>41</xdr:row>
          <xdr:rowOff>122463</xdr:rowOff>
        </xdr:from>
        <xdr:to>
          <xdr:col>13</xdr:col>
          <xdr:colOff>40821</xdr:colOff>
          <xdr:row>60</xdr:row>
          <xdr:rowOff>176893</xdr:rowOff>
        </xdr:to>
        <xdr:pic>
          <xdr:nvPicPr>
            <xdr:cNvPr id="9" name="Picture 8">
              <a:extLst>
                <a:ext uri="{FF2B5EF4-FFF2-40B4-BE49-F238E27FC236}">
                  <a16:creationId xmlns:a16="http://schemas.microsoft.com/office/drawing/2014/main" id="{76DB36BF-B827-456E-9BDD-110A42040B5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Linked Charts'!$I$21:$T$44" spid="_x0000_s5630"/>
                </a:ext>
              </a:extLst>
            </xdr:cNvPicPr>
          </xdr:nvPicPr>
          <xdr:blipFill rotWithShape="1">
            <a:blip xmlns:r="http://schemas.openxmlformats.org/officeDocument/2006/relationships" r:embed="rId3"/>
            <a:srcRect l="9672" t="1574" r="1553" b="2495"/>
            <a:stretch>
              <a:fillRect/>
            </a:stretch>
          </xdr:blipFill>
          <xdr:spPr bwMode="auto">
            <a:xfrm>
              <a:off x="1143001" y="8218713"/>
              <a:ext cx="6857999" cy="367393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chemeClr val="accent3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557892</xdr:colOff>
          <xdr:row>41</xdr:row>
          <xdr:rowOff>136071</xdr:rowOff>
        </xdr:from>
        <xdr:to>
          <xdr:col>25</xdr:col>
          <xdr:colOff>190500</xdr:colOff>
          <xdr:row>60</xdr:row>
          <xdr:rowOff>163285</xdr:rowOff>
        </xdr:to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E05D7ED6-9656-4D8A-943F-62482BC299A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Linked Charts'!$U$21:$AE$44" spid="_x0000_s5631"/>
                </a:ext>
              </a:extLst>
            </xdr:cNvPicPr>
          </xdr:nvPicPr>
          <xdr:blipFill rotWithShape="1">
            <a:blip xmlns:r="http://schemas.openxmlformats.org/officeDocument/2006/relationships" r:embed="rId4"/>
            <a:srcRect l="4478" t="2049" r="2522" b="3802"/>
            <a:stretch>
              <a:fillRect/>
            </a:stretch>
          </xdr:blipFill>
          <xdr:spPr bwMode="auto">
            <a:xfrm>
              <a:off x="8518071" y="8232321"/>
              <a:ext cx="6980465" cy="3646714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chemeClr val="accent3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UJITSU" refreshedDate="44466.430690277775" createdVersion="7" refreshedVersion="7" minRefreshableVersion="3" recordCount="100" xr:uid="{4922B8A7-F17E-4D87-A6C5-F835CEBF7D70}">
  <cacheSource type="worksheet">
    <worksheetSource ref="A1:C101" sheet="Emp_List"/>
  </cacheSource>
  <cacheFields count="3">
    <cacheField name="ID" numFmtId="0">
      <sharedItems/>
    </cacheField>
    <cacheField name="Name" numFmtId="0">
      <sharedItems count="100">
        <s v="Abel Sherman"/>
        <s v="Ahmed Cortez"/>
        <s v="Ali Hernandez"/>
        <s v="Asher Workman"/>
        <s v="Ashley Workman"/>
        <s v="Avye Kelly"/>
        <s v="Barbara Mcconnell"/>
        <s v="Barclay Romero"/>
        <s v="Basia David"/>
        <s v="Basia Davidhall"/>
        <s v="Bevis Mcpherson"/>
        <s v="Brooke Odom"/>
        <s v="Bruce Daily"/>
        <s v="Bruce Day"/>
        <s v="Callie Jefferson"/>
        <s v="Castor Whitney"/>
        <s v="Charity Gross"/>
        <s v="Ciaran Becker"/>
        <s v="Cole Shelton"/>
        <s v="Cole Sheraton"/>
        <s v="Colleen Bryan"/>
        <s v="Colorado Fields"/>
        <s v="Conan Lopez"/>
        <s v="David Hernandez"/>
        <s v="Demetria Wiley"/>
        <s v="Dorothy Pena"/>
        <s v="Edan Barton"/>
        <s v="Edward Glenn"/>
        <s v="Edward Green"/>
        <s v="Elmo Monroe"/>
        <s v="Emmanuel Maldonado"/>
        <s v="Felicity Gross"/>
        <s v="George Mahood"/>
        <s v="George Mcleod"/>
        <s v="Gregory Odom"/>
        <s v="Guinevere Reilly"/>
        <s v="Halee Middleton"/>
        <s v="Harrison Ross"/>
        <s v="Hiroko Bird"/>
        <s v="Imelda Herring"/>
        <s v="Ira Lynch"/>
        <s v="Iris Bernard"/>
        <s v="Ivory Sloan"/>
        <s v="Jade Weber"/>
        <s v="Jordan Schneider"/>
        <s v="Jordan Sheldon"/>
        <s v="Joseph Forest"/>
        <s v="Joseph Woods"/>
        <s v="Kamal Pope"/>
        <s v="Kamala Pope"/>
        <s v="Kamara Gallagher"/>
        <s v="Karly Barron"/>
        <s v="Kathleen Chan"/>
        <s v="Kay Rios"/>
        <s v="Keith Mccarty"/>
        <s v="Kellie Ferrell"/>
        <s v="Kellie Ferriss"/>
        <s v="Kenneth Gallagher"/>
        <s v="Kieran William"/>
        <s v="Kieran Wilson"/>
        <s v="Kyla Arrows"/>
        <s v="Kyla Spears"/>
        <s v="Lance Kirkland"/>
        <s v="Lionel Joseph"/>
        <s v="Lira Inch"/>
        <s v="Lydia Wolfe"/>
        <s v="Madonna Hines"/>
        <s v="Mallory Carlson"/>
        <s v="Mira Perkins"/>
        <s v="Nehru Acosta"/>
        <s v="Nicole Davidson"/>
        <s v="Noelani Snyder"/>
        <s v="Nyssa England"/>
        <s v="Otto Burke"/>
        <s v="Patricia Schmidt"/>
        <s v="Perry Ray"/>
        <s v="Perry Schmidt"/>
        <s v="Prescott Mcknight"/>
        <s v="Quamar Ramos"/>
        <s v="Quinlan Mcbride"/>
        <s v="Rashad Hobbs"/>
        <s v="Roary Snyder"/>
        <s v="Robin Blackburn"/>
        <s v="Ryan Walton"/>
        <s v="Salvador Small"/>
        <s v="Smith Burke"/>
        <s v="Stone Meadows"/>
        <s v="Stone Pickett"/>
        <s v="Sylvester Pittman"/>
        <s v="Tara Armstrong"/>
        <s v="Tiger Bauer"/>
        <s v="Tim Burke"/>
        <s v="Timon Armstrong"/>
        <s v="Veda Bruce"/>
        <s v="Wesley Snyder"/>
        <s v="Winifred Vaughn"/>
        <s v="Yeo Garrison"/>
        <s v="Yoshio Nudge"/>
        <s v="Yoshio Pierce"/>
        <s v="Zeph Gill"/>
      </sharedItems>
    </cacheField>
    <cacheField name="Department" numFmtId="0">
      <sharedItems count="6">
        <s v="Finance"/>
        <s v="Marketing"/>
        <s v="Sales"/>
        <s v="Operations"/>
        <s v="IT"/>
        <s v="H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UJITSU" refreshedDate="44466.650308680553" createdVersion="7" refreshedVersion="7" minRefreshableVersion="3" recordCount="150" xr:uid="{CFA03823-9CBF-4138-B4E1-88663AC05303}">
  <cacheSource type="worksheet">
    <worksheetSource ref="A1:E151" sheet="Emp_Training_Tracker"/>
  </cacheSource>
  <cacheFields count="5">
    <cacheField name="Final Status" numFmtId="0">
      <sharedItems/>
    </cacheField>
    <cacheField name="Person Name" numFmtId="0">
      <sharedItems containsBlank="1"/>
    </cacheField>
    <cacheField name="Program Name" numFmtId="0">
      <sharedItems containsBlank="1" count="22">
        <s v="Basic Project Management Methods"/>
        <s v="Advanced Advertising Skills"/>
        <s v="Basic Sales Skills"/>
        <s v="Advanced IT Skills"/>
        <s v="Basic Advertising Methods"/>
        <s v="Advanced People Management Skills"/>
        <s v="Advanced Business Methods"/>
        <s v="Advanced IT Techniques"/>
        <s v="Basic People Management Methods"/>
        <s v="Advanced People Management Techniques"/>
        <s v="Advanced Sales Techniques"/>
        <s v="Advanced Sales Methods"/>
        <s v="Basic Business Skills"/>
        <s v="Basic Advertising Skills"/>
        <s v="Advanced People Management Methods"/>
        <s v="Basic IT Methods"/>
        <s v="Basic Advertising Techniques"/>
        <s v="Basic People Management Techniques"/>
        <s v="Basic People Management Skills"/>
        <s v="Advanced Project Management Skills"/>
        <s v="Advanced Business Techniques"/>
        <m/>
      </sharedItems>
    </cacheField>
    <cacheField name="Status" numFmtId="0">
      <sharedItems containsBlank="1"/>
    </cacheField>
    <cacheField name="Feedback Rating" numFmtId="0">
      <sharedItems containsBlank="1" count="7">
        <s v="5 - Very happy"/>
        <s v="Ratings Unavailable"/>
        <s v="1 - Disaster"/>
        <s v="4 - Happy"/>
        <s v="3 - Average"/>
        <s v="2 - Not happ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UJITSU" refreshedDate="44473.762934143517" createdVersion="7" refreshedVersion="7" minRefreshableVersion="3" recordCount="22" xr:uid="{D358D152-F906-42DE-8C7B-B8DB68E9D503}">
  <cacheSource type="worksheet">
    <worksheetSource ref="E2:J24" sheet="Calculations"/>
  </cacheSource>
  <cacheFields count="6">
    <cacheField name="Training Name" numFmtId="0">
      <sharedItems containsBlank="1" count="22">
        <m/>
        <s v="Basic Sales Skills"/>
        <s v="Basic Project Management Methods"/>
        <s v="Basic People Management Techniques"/>
        <s v="Basic People Management Skills"/>
        <s v="Basic People Management Methods"/>
        <s v="Basic IT Methods"/>
        <s v="Basic Business Skills"/>
        <s v="Basic Advertising Techniques"/>
        <s v="Basic Advertising Skills"/>
        <s v="Basic Advertising Methods"/>
        <s v="Advanced Sales Techniques"/>
        <s v="Advanced Sales Methods"/>
        <s v="Advanced Project Management Skills"/>
        <s v="Advanced People Management Techniques"/>
        <s v="Advanced People Management Skills"/>
        <s v="Advanced People Management Methods"/>
        <s v="Advanced IT Techniques"/>
        <s v="Advanced IT Skills"/>
        <s v="Advanced Business Techniques"/>
        <s v="Advanced Business Methods"/>
        <s v="Advanced Advertising Skills"/>
      </sharedItems>
    </cacheField>
    <cacheField name="Training Capacity " numFmtId="0">
      <sharedItems containsString="0" containsBlank="1" containsNumber="1" containsInteger="1" minValue="5" maxValue="30"/>
    </cacheField>
    <cacheField name="Actual Number of Participants" numFmtId="0">
      <sharedItems containsString="0" containsBlank="1" containsNumber="1" containsInteger="1" minValue="1" maxValue="14" count="12">
        <m/>
        <n v="9"/>
        <n v="14"/>
        <n v="4"/>
        <n v="6"/>
        <n v="7"/>
        <n v="2"/>
        <n v="10"/>
        <n v="5"/>
        <n v="8"/>
        <n v="1"/>
        <n v="11"/>
      </sharedItems>
    </cacheField>
    <cacheField name="Cost" numFmtId="0">
      <sharedItems containsString="0" containsBlank="1" containsNumber="1" containsInteger="1" minValue="2000" maxValue="7000"/>
    </cacheField>
    <cacheField name="Year" numFmtId="0">
      <sharedItems containsBlank="1" count="3">
        <m/>
        <s v="2015"/>
        <s v="2016"/>
      </sharedItems>
    </cacheField>
    <cacheField name="Ratings" numFmtId="0">
      <sharedItems containsMixedTypes="1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P0001"/>
    <x v="0"/>
    <x v="0"/>
  </r>
  <r>
    <s v="P0002"/>
    <x v="1"/>
    <x v="1"/>
  </r>
  <r>
    <s v="P0003"/>
    <x v="2"/>
    <x v="2"/>
  </r>
  <r>
    <s v="P0004"/>
    <x v="3"/>
    <x v="1"/>
  </r>
  <r>
    <s v="P0005"/>
    <x v="4"/>
    <x v="3"/>
  </r>
  <r>
    <s v="P0006"/>
    <x v="5"/>
    <x v="4"/>
  </r>
  <r>
    <s v="P0007"/>
    <x v="6"/>
    <x v="4"/>
  </r>
  <r>
    <s v="P0008"/>
    <x v="7"/>
    <x v="2"/>
  </r>
  <r>
    <s v="P0009"/>
    <x v="8"/>
    <x v="3"/>
  </r>
  <r>
    <s v="P0010"/>
    <x v="9"/>
    <x v="0"/>
  </r>
  <r>
    <s v="P0011"/>
    <x v="10"/>
    <x v="0"/>
  </r>
  <r>
    <s v="P0012"/>
    <x v="11"/>
    <x v="2"/>
  </r>
  <r>
    <s v="P0013"/>
    <x v="12"/>
    <x v="3"/>
  </r>
  <r>
    <s v="P0014"/>
    <x v="13"/>
    <x v="1"/>
  </r>
  <r>
    <s v="P0015"/>
    <x v="14"/>
    <x v="3"/>
  </r>
  <r>
    <s v="P0016"/>
    <x v="15"/>
    <x v="0"/>
  </r>
  <r>
    <s v="P0017"/>
    <x v="16"/>
    <x v="5"/>
  </r>
  <r>
    <s v="P0018"/>
    <x v="17"/>
    <x v="2"/>
  </r>
  <r>
    <s v="P0019"/>
    <x v="18"/>
    <x v="3"/>
  </r>
  <r>
    <s v="P0020"/>
    <x v="19"/>
    <x v="0"/>
  </r>
  <r>
    <s v="P0021"/>
    <x v="20"/>
    <x v="0"/>
  </r>
  <r>
    <s v="P0022"/>
    <x v="21"/>
    <x v="3"/>
  </r>
  <r>
    <s v="P0023"/>
    <x v="22"/>
    <x v="1"/>
  </r>
  <r>
    <s v="P0024"/>
    <x v="23"/>
    <x v="0"/>
  </r>
  <r>
    <s v="P0025"/>
    <x v="24"/>
    <x v="1"/>
  </r>
  <r>
    <s v="P0026"/>
    <x v="25"/>
    <x v="4"/>
  </r>
  <r>
    <s v="P0027"/>
    <x v="26"/>
    <x v="1"/>
  </r>
  <r>
    <s v="P0028"/>
    <x v="27"/>
    <x v="2"/>
  </r>
  <r>
    <s v="P0029"/>
    <x v="28"/>
    <x v="5"/>
  </r>
  <r>
    <s v="P0030"/>
    <x v="29"/>
    <x v="0"/>
  </r>
  <r>
    <s v="P0031"/>
    <x v="30"/>
    <x v="3"/>
  </r>
  <r>
    <s v="P0032"/>
    <x v="31"/>
    <x v="4"/>
  </r>
  <r>
    <s v="P0033"/>
    <x v="32"/>
    <x v="1"/>
  </r>
  <r>
    <s v="P0034"/>
    <x v="33"/>
    <x v="0"/>
  </r>
  <r>
    <s v="P0035"/>
    <x v="34"/>
    <x v="5"/>
  </r>
  <r>
    <s v="P0036"/>
    <x v="35"/>
    <x v="5"/>
  </r>
  <r>
    <s v="P0037"/>
    <x v="36"/>
    <x v="1"/>
  </r>
  <r>
    <s v="P0038"/>
    <x v="37"/>
    <x v="0"/>
  </r>
  <r>
    <s v="P0039"/>
    <x v="38"/>
    <x v="2"/>
  </r>
  <r>
    <s v="P0040"/>
    <x v="39"/>
    <x v="0"/>
  </r>
  <r>
    <s v="P0041"/>
    <x v="40"/>
    <x v="1"/>
  </r>
  <r>
    <s v="P0042"/>
    <x v="41"/>
    <x v="5"/>
  </r>
  <r>
    <s v="P0043"/>
    <x v="42"/>
    <x v="4"/>
  </r>
  <r>
    <s v="P0044"/>
    <x v="43"/>
    <x v="0"/>
  </r>
  <r>
    <s v="P0045"/>
    <x v="44"/>
    <x v="1"/>
  </r>
  <r>
    <s v="P0046"/>
    <x v="45"/>
    <x v="4"/>
  </r>
  <r>
    <s v="P0047"/>
    <x v="46"/>
    <x v="0"/>
  </r>
  <r>
    <s v="P0048"/>
    <x v="47"/>
    <x v="1"/>
  </r>
  <r>
    <s v="P0049"/>
    <x v="48"/>
    <x v="0"/>
  </r>
  <r>
    <s v="P0050"/>
    <x v="49"/>
    <x v="4"/>
  </r>
  <r>
    <s v="P0051"/>
    <x v="50"/>
    <x v="3"/>
  </r>
  <r>
    <s v="P0052"/>
    <x v="51"/>
    <x v="3"/>
  </r>
  <r>
    <s v="P0053"/>
    <x v="52"/>
    <x v="3"/>
  </r>
  <r>
    <s v="P0054"/>
    <x v="53"/>
    <x v="0"/>
  </r>
  <r>
    <s v="P0055"/>
    <x v="54"/>
    <x v="5"/>
  </r>
  <r>
    <s v="P0056"/>
    <x v="55"/>
    <x v="0"/>
  </r>
  <r>
    <s v="P0057"/>
    <x v="56"/>
    <x v="4"/>
  </r>
  <r>
    <s v="P0058"/>
    <x v="57"/>
    <x v="2"/>
  </r>
  <r>
    <s v="P0059"/>
    <x v="58"/>
    <x v="1"/>
  </r>
  <r>
    <s v="P0060"/>
    <x v="59"/>
    <x v="4"/>
  </r>
  <r>
    <s v="P0061"/>
    <x v="60"/>
    <x v="0"/>
  </r>
  <r>
    <s v="P0062"/>
    <x v="61"/>
    <x v="5"/>
  </r>
  <r>
    <s v="P0063"/>
    <x v="62"/>
    <x v="0"/>
  </r>
  <r>
    <s v="P0064"/>
    <x v="63"/>
    <x v="5"/>
  </r>
  <r>
    <s v="P0065"/>
    <x v="64"/>
    <x v="4"/>
  </r>
  <r>
    <s v="P0066"/>
    <x v="65"/>
    <x v="2"/>
  </r>
  <r>
    <s v="P0067"/>
    <x v="66"/>
    <x v="5"/>
  </r>
  <r>
    <s v="P0068"/>
    <x v="67"/>
    <x v="4"/>
  </r>
  <r>
    <s v="P0069"/>
    <x v="68"/>
    <x v="1"/>
  </r>
  <r>
    <s v="P0070"/>
    <x v="69"/>
    <x v="4"/>
  </r>
  <r>
    <s v="P0071"/>
    <x v="70"/>
    <x v="0"/>
  </r>
  <r>
    <s v="P0072"/>
    <x v="71"/>
    <x v="1"/>
  </r>
  <r>
    <s v="P0073"/>
    <x v="72"/>
    <x v="0"/>
  </r>
  <r>
    <s v="P0074"/>
    <x v="73"/>
    <x v="4"/>
  </r>
  <r>
    <s v="P0075"/>
    <x v="74"/>
    <x v="3"/>
  </r>
  <r>
    <s v="P0076"/>
    <x v="75"/>
    <x v="5"/>
  </r>
  <r>
    <s v="P0077"/>
    <x v="76"/>
    <x v="2"/>
  </r>
  <r>
    <s v="P0078"/>
    <x v="77"/>
    <x v="4"/>
  </r>
  <r>
    <s v="P0079"/>
    <x v="78"/>
    <x v="3"/>
  </r>
  <r>
    <s v="P0080"/>
    <x v="79"/>
    <x v="0"/>
  </r>
  <r>
    <s v="P0081"/>
    <x v="80"/>
    <x v="0"/>
  </r>
  <r>
    <s v="P0082"/>
    <x v="81"/>
    <x v="2"/>
  </r>
  <r>
    <s v="P0083"/>
    <x v="82"/>
    <x v="0"/>
  </r>
  <r>
    <s v="P0084"/>
    <x v="83"/>
    <x v="2"/>
  </r>
  <r>
    <s v="P0085"/>
    <x v="84"/>
    <x v="0"/>
  </r>
  <r>
    <s v="P0086"/>
    <x v="85"/>
    <x v="1"/>
  </r>
  <r>
    <s v="P0087"/>
    <x v="86"/>
    <x v="3"/>
  </r>
  <r>
    <s v="P0088"/>
    <x v="87"/>
    <x v="3"/>
  </r>
  <r>
    <s v="P0089"/>
    <x v="88"/>
    <x v="0"/>
  </r>
  <r>
    <s v="P0090"/>
    <x v="89"/>
    <x v="3"/>
  </r>
  <r>
    <s v="P0091"/>
    <x v="90"/>
    <x v="3"/>
  </r>
  <r>
    <s v="P0092"/>
    <x v="91"/>
    <x v="0"/>
  </r>
  <r>
    <s v="P0093"/>
    <x v="92"/>
    <x v="4"/>
  </r>
  <r>
    <s v="P0094"/>
    <x v="93"/>
    <x v="0"/>
  </r>
  <r>
    <s v="P0095"/>
    <x v="94"/>
    <x v="2"/>
  </r>
  <r>
    <s v="P0096"/>
    <x v="95"/>
    <x v="2"/>
  </r>
  <r>
    <s v="P0097"/>
    <x v="96"/>
    <x v="5"/>
  </r>
  <r>
    <s v="P0098"/>
    <x v="97"/>
    <x v="2"/>
  </r>
  <r>
    <s v="P0099"/>
    <x v="98"/>
    <x v="0"/>
  </r>
  <r>
    <s v="P0100"/>
    <x v="99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OK"/>
    <s v="Timon Armstrong"/>
    <x v="0"/>
    <s v="Nominated"/>
    <x v="0"/>
  </r>
  <r>
    <s v="OK"/>
    <s v="Ahmed Cortez"/>
    <x v="1"/>
    <s v="Nominated"/>
    <x v="1"/>
  </r>
  <r>
    <s v="OK"/>
    <s v="Ivory Sloan"/>
    <x v="2"/>
    <s v="Nominated"/>
    <x v="2"/>
  </r>
  <r>
    <s v="OK"/>
    <s v="Colleen Bryan"/>
    <x v="3"/>
    <s v="Nominated"/>
    <x v="1"/>
  </r>
  <r>
    <s v="OK"/>
    <s v="Kenneth Gallagher"/>
    <x v="4"/>
    <s v="Nominated"/>
    <x v="3"/>
  </r>
  <r>
    <s v="OK"/>
    <s v="Perry Schmidt"/>
    <x v="5"/>
    <s v="Nominated"/>
    <x v="3"/>
  </r>
  <r>
    <s v="OK"/>
    <s v="Edward Glenn"/>
    <x v="0"/>
    <s v="Nominated"/>
    <x v="4"/>
  </r>
  <r>
    <s v="OK"/>
    <s v="Tiger Bauer"/>
    <x v="6"/>
    <s v="Nominated"/>
    <x v="1"/>
  </r>
  <r>
    <s v="OK"/>
    <s v="Yoshio Pierce"/>
    <x v="1"/>
    <s v="Nominated"/>
    <x v="1"/>
  </r>
  <r>
    <s v="OK"/>
    <s v="Dorothy Pena"/>
    <x v="7"/>
    <s v="Nominated"/>
    <x v="1"/>
  </r>
  <r>
    <s v="Duplicate enrollment"/>
    <s v="Cole Shelton"/>
    <x v="1"/>
    <s v="Nominated"/>
    <x v="1"/>
  </r>
  <r>
    <s v="OK"/>
    <s v="Bevis Mcpherson"/>
    <x v="8"/>
    <s v="Nominated"/>
    <x v="2"/>
  </r>
  <r>
    <s v="OK"/>
    <s v="Abel Sherman"/>
    <x v="9"/>
    <s v="Nominated"/>
    <x v="5"/>
  </r>
  <r>
    <s v="OK"/>
    <s v="Hiroko Bird"/>
    <x v="3"/>
    <s v="Nominated"/>
    <x v="1"/>
  </r>
  <r>
    <s v="OK"/>
    <s v="Madonna Hines"/>
    <x v="6"/>
    <s v="Nominated"/>
    <x v="1"/>
  </r>
  <r>
    <s v="OK"/>
    <s v="Elmo Monroe"/>
    <x v="9"/>
    <s v="Nominated"/>
    <x v="2"/>
  </r>
  <r>
    <s v="OK"/>
    <s v="Karly Barron"/>
    <x v="4"/>
    <s v="Nominated"/>
    <x v="4"/>
  </r>
  <r>
    <s v="OK"/>
    <s v="Iris Bernard"/>
    <x v="8"/>
    <s v="Nominated"/>
    <x v="5"/>
  </r>
  <r>
    <s v="OK"/>
    <s v="David Hernandez"/>
    <x v="10"/>
    <s v="Nominated"/>
    <x v="0"/>
  </r>
  <r>
    <s v="OK"/>
    <s v="Imelda Herring"/>
    <x v="4"/>
    <s v="Nominated"/>
    <x v="3"/>
  </r>
  <r>
    <s v="OK"/>
    <s v="Veda Bruce"/>
    <x v="2"/>
    <s v="Nominated"/>
    <x v="5"/>
  </r>
  <r>
    <s v="OK"/>
    <s v="Kamal Pope"/>
    <x v="1"/>
    <s v="Nominated"/>
    <x v="1"/>
  </r>
  <r>
    <s v="OK"/>
    <s v="Charity Gross"/>
    <x v="6"/>
    <s v="Nominated"/>
    <x v="1"/>
  </r>
  <r>
    <s v="OK"/>
    <s v="Rashad Hobbs"/>
    <x v="1"/>
    <s v="Nominated"/>
    <x v="1"/>
  </r>
  <r>
    <s v="OK"/>
    <s v="Kay Rios"/>
    <x v="11"/>
    <s v="Nominated"/>
    <x v="0"/>
  </r>
  <r>
    <s v="OK"/>
    <s v="George Mcleod"/>
    <x v="11"/>
    <s v="Nominated"/>
    <x v="5"/>
  </r>
  <r>
    <s v="OK"/>
    <s v="Quinlan Mcbride"/>
    <x v="2"/>
    <s v="Nominated"/>
    <x v="2"/>
  </r>
  <r>
    <s v="OK"/>
    <s v="Lydia Wolfe"/>
    <x v="12"/>
    <s v="Nominated"/>
    <x v="4"/>
  </r>
  <r>
    <s v="OK"/>
    <s v="Basia David"/>
    <x v="13"/>
    <s v="Nominated"/>
    <x v="2"/>
  </r>
  <r>
    <s v="OK"/>
    <s v="Jade Weber"/>
    <x v="14"/>
    <s v="Nominated"/>
    <x v="3"/>
  </r>
  <r>
    <s v="OK"/>
    <s v="Prescott Mcknight"/>
    <x v="15"/>
    <s v="Nominated"/>
    <x v="5"/>
  </r>
  <r>
    <s v="OK"/>
    <s v="Stone Pickett"/>
    <x v="3"/>
    <s v="Nominated"/>
    <x v="1"/>
  </r>
  <r>
    <s v="OK"/>
    <s v="Kathleen Chan"/>
    <x v="16"/>
    <s v="Nominated"/>
    <x v="2"/>
  </r>
  <r>
    <s v="OK"/>
    <s v="Asher Workman"/>
    <x v="17"/>
    <s v="Nominated"/>
    <x v="3"/>
  </r>
  <r>
    <s v="OK"/>
    <s v="Demetria Wiley"/>
    <x v="10"/>
    <s v="Nominated"/>
    <x v="2"/>
  </r>
  <r>
    <s v="OK"/>
    <s v="Bruce Day"/>
    <x v="16"/>
    <s v="Nominated"/>
    <x v="4"/>
  </r>
  <r>
    <s v="OK"/>
    <s v="Noelani Snyder"/>
    <x v="10"/>
    <s v="Nominated"/>
    <x v="0"/>
  </r>
  <r>
    <s v="OK"/>
    <s v="Cole Shelton"/>
    <x v="6"/>
    <s v="Nominated"/>
    <x v="1"/>
  </r>
  <r>
    <s v="OK"/>
    <s v="Charity Gross"/>
    <x v="18"/>
    <s v="Nominated"/>
    <x v="2"/>
  </r>
  <r>
    <s v="OK"/>
    <s v="Otto Burke"/>
    <x v="3"/>
    <s v="Nominated"/>
    <x v="1"/>
  </r>
  <r>
    <s v="OK"/>
    <s v="Basia David"/>
    <x v="13"/>
    <s v="Nominated"/>
    <x v="5"/>
  </r>
  <r>
    <s v="Duplicate enrollment"/>
    <s v="Kellie Ferrell"/>
    <x v="3"/>
    <s v="Nominated"/>
    <x v="1"/>
  </r>
  <r>
    <s v="OK"/>
    <s v="Mira Perkins"/>
    <x v="0"/>
    <s v="Nominated"/>
    <x v="4"/>
  </r>
  <r>
    <s v="OK"/>
    <s v="Abel Sherman"/>
    <x v="15"/>
    <s v="Nominated"/>
    <x v="4"/>
  </r>
  <r>
    <s v="OK"/>
    <s v="Barclay Romero"/>
    <x v="2"/>
    <s v="Nominated"/>
    <x v="4"/>
  </r>
  <r>
    <s v="OK"/>
    <s v="Harrison Ross"/>
    <x v="10"/>
    <s v="Nominated"/>
    <x v="3"/>
  </r>
  <r>
    <s v="OK"/>
    <s v="Ali Hernandez"/>
    <x v="16"/>
    <s v="Nominated"/>
    <x v="5"/>
  </r>
  <r>
    <s v="OK"/>
    <s v="Iris Bernard"/>
    <x v="0"/>
    <s v="Nominated"/>
    <x v="4"/>
  </r>
  <r>
    <s v="OK"/>
    <s v="Brooke Odom"/>
    <x v="19"/>
    <s v="Nominated"/>
    <x v="4"/>
  </r>
  <r>
    <s v="OK"/>
    <s v="Jordan Schneider"/>
    <x v="0"/>
    <s v="Nominated"/>
    <x v="3"/>
  </r>
  <r>
    <s v="Course over capacity"/>
    <s v="Gregory Odom"/>
    <x v="20"/>
    <s v="Nominated"/>
    <x v="1"/>
  </r>
  <r>
    <s v="OK"/>
    <s v="Otto Burke"/>
    <x v="10"/>
    <s v="Nominated"/>
    <x v="3"/>
  </r>
  <r>
    <s v="OK"/>
    <s v="Winifred Vaughn"/>
    <x v="16"/>
    <s v="Nominated"/>
    <x v="0"/>
  </r>
  <r>
    <s v="OK"/>
    <s v="Edward Glenn"/>
    <x v="8"/>
    <s v="Nominated"/>
    <x v="2"/>
  </r>
  <r>
    <s v="OK"/>
    <s v="Mira Perkins"/>
    <x v="8"/>
    <s v="Nominated"/>
    <x v="0"/>
  </r>
  <r>
    <s v="OK"/>
    <s v="Colleen Bryan"/>
    <x v="0"/>
    <s v="Nominated"/>
    <x v="2"/>
  </r>
  <r>
    <s v="Course over capacity"/>
    <s v="Edward Glenn"/>
    <x v="10"/>
    <s v="Nominated"/>
    <x v="0"/>
  </r>
  <r>
    <s v="OK"/>
    <s v="Robin Blackburn"/>
    <x v="17"/>
    <s v="Nominated"/>
    <x v="3"/>
  </r>
  <r>
    <s v="OK"/>
    <s v="Noelani Snyder"/>
    <x v="19"/>
    <s v="Nominated"/>
    <x v="5"/>
  </r>
  <r>
    <s v="OK"/>
    <s v="Madonna Hines"/>
    <x v="18"/>
    <s v="Nominated"/>
    <x v="0"/>
  </r>
  <r>
    <s v="OK"/>
    <s v="Charity Gross"/>
    <x v="13"/>
    <s v="Nominated"/>
    <x v="4"/>
  </r>
  <r>
    <s v="OK"/>
    <s v="Perry Schmidt"/>
    <x v="14"/>
    <s v="Nominated"/>
    <x v="5"/>
  </r>
  <r>
    <s v="OK"/>
    <s v="Iris Bernard"/>
    <x v="17"/>
    <s v="Nominated"/>
    <x v="2"/>
  </r>
  <r>
    <s v="OK"/>
    <s v="Quinlan Mcbride"/>
    <x v="0"/>
    <s v="Nominated"/>
    <x v="3"/>
  </r>
  <r>
    <s v="Course over capacity"/>
    <s v="Kay Rios"/>
    <x v="16"/>
    <s v="Nominated"/>
    <x v="4"/>
  </r>
  <r>
    <s v="OK"/>
    <s v="Madonna Hines"/>
    <x v="0"/>
    <s v="Nominated"/>
    <x v="0"/>
  </r>
  <r>
    <s v="Course over capacity"/>
    <s v="Edward Glenn"/>
    <x v="0"/>
    <s v="Nominated"/>
    <x v="2"/>
  </r>
  <r>
    <s v="Duplicate enrollment"/>
    <s v="Keith Mccarty"/>
    <x v="0"/>
    <s v="Nominated"/>
    <x v="2"/>
  </r>
  <r>
    <s v="Course over capacity"/>
    <s v="Veda Bruce"/>
    <x v="6"/>
    <s v="Nominated"/>
    <x v="1"/>
  </r>
  <r>
    <s v="OK"/>
    <s v="Kenneth Gallagher"/>
    <x v="9"/>
    <s v="Nominated"/>
    <x v="2"/>
  </r>
  <r>
    <s v="OK"/>
    <s v="George Mcleod"/>
    <x v="6"/>
    <s v="Nominated"/>
    <x v="1"/>
  </r>
  <r>
    <s v="OK"/>
    <s v="Castor Whitney"/>
    <x v="14"/>
    <s v="Nominated"/>
    <x v="0"/>
  </r>
  <r>
    <s v="OK"/>
    <s v="Nyssa England"/>
    <x v="12"/>
    <s v="Nominated"/>
    <x v="3"/>
  </r>
  <r>
    <s v="OK"/>
    <s v="Halee Middleton"/>
    <x v="5"/>
    <s v="Nominated"/>
    <x v="3"/>
  </r>
  <r>
    <s v="OK"/>
    <s v="Cole Shelton"/>
    <x v="17"/>
    <s v="Nominated"/>
    <x v="4"/>
  </r>
  <r>
    <s v="OK"/>
    <s v="Basia David"/>
    <x v="18"/>
    <s v="Nominated"/>
    <x v="5"/>
  </r>
  <r>
    <s v="OK"/>
    <s v="Ciaran Becker"/>
    <x v="13"/>
    <s v="Nominated"/>
    <x v="0"/>
  </r>
  <r>
    <s v="OK"/>
    <s v="George Mcleod"/>
    <x v="13"/>
    <s v="Nominated"/>
    <x v="3"/>
  </r>
  <r>
    <s v="OK"/>
    <s v="Asher Workman"/>
    <x v="4"/>
    <s v="Nominated"/>
    <x v="5"/>
  </r>
  <r>
    <s v="OK"/>
    <s v="Asher Workman"/>
    <x v="5"/>
    <s v="Nominated"/>
    <x v="2"/>
  </r>
  <r>
    <s v="OK"/>
    <s v="Perry Schmidt"/>
    <x v="1"/>
    <s v="Nominated"/>
    <x v="1"/>
  </r>
  <r>
    <s v="OK"/>
    <s v="Harrison Ross"/>
    <x v="11"/>
    <s v="Nominated"/>
    <x v="3"/>
  </r>
  <r>
    <s v="OK"/>
    <s v="Asher Workman"/>
    <x v="5"/>
    <s v="Nominated"/>
    <x v="0"/>
  </r>
  <r>
    <s v="Duplicate enrollment"/>
    <s v="Barclay Romero"/>
    <x v="15"/>
    <s v="Nominated"/>
    <x v="0"/>
  </r>
  <r>
    <s v="OK"/>
    <s v="Jordan Schneider"/>
    <x v="1"/>
    <s v="Nominated"/>
    <x v="1"/>
  </r>
  <r>
    <s v="OK"/>
    <s v="Jade Weber"/>
    <x v="18"/>
    <s v="Nominated"/>
    <x v="3"/>
  </r>
  <r>
    <s v="OK"/>
    <s v="Quinlan Mcbride"/>
    <x v="14"/>
    <s v="Nominated"/>
    <x v="5"/>
  </r>
  <r>
    <s v="OK"/>
    <s v="Barclay Romero"/>
    <x v="2"/>
    <s v="Nominated"/>
    <x v="3"/>
  </r>
  <r>
    <s v="Duplicate enrollment"/>
    <s v="Timon Armstrong"/>
    <x v="13"/>
    <s v="Nominated"/>
    <x v="2"/>
  </r>
  <r>
    <s v="OK"/>
    <s v="Tiger Bauer"/>
    <x v="9"/>
    <s v="Nominated"/>
    <x v="4"/>
  </r>
  <r>
    <s v="OK"/>
    <s v="Ciaran Becker"/>
    <x v="2"/>
    <s v="Nominated"/>
    <x v="4"/>
  </r>
  <r>
    <s v="OK"/>
    <s v="Timon Armstrong"/>
    <x v="19"/>
    <s v="Nominated"/>
    <x v="3"/>
  </r>
  <r>
    <s v="OK"/>
    <s v="Ryan Walton"/>
    <x v="14"/>
    <s v="Nominated"/>
    <x v="2"/>
  </r>
  <r>
    <s v="OK"/>
    <s v="Cole Sheraton"/>
    <x v="4"/>
    <s v="Nominated"/>
    <x v="0"/>
  </r>
  <r>
    <s v="OK"/>
    <s v="Dorothy Pena"/>
    <x v="11"/>
    <s v="Nominated"/>
    <x v="0"/>
  </r>
  <r>
    <s v="OK"/>
    <s v="Cole Shelton"/>
    <x v="2"/>
    <s v="Nominated"/>
    <x v="5"/>
  </r>
  <r>
    <s v="OK"/>
    <s v="Charity Gross"/>
    <x v="13"/>
    <s v="Nominated"/>
    <x v="2"/>
  </r>
  <r>
    <s v="Duplicate enrollment"/>
    <s v="Lionel Joseph"/>
    <x v="16"/>
    <s v="Nominated"/>
    <x v="0"/>
  </r>
  <r>
    <s v="OK"/>
    <s v="Kieran Wilson"/>
    <x v="11"/>
    <s v="Nominated"/>
    <x v="4"/>
  </r>
  <r>
    <s v="OK"/>
    <s v="Mallory Carlson"/>
    <x v="19"/>
    <s v="Nominated"/>
    <x v="3"/>
  </r>
  <r>
    <s v="OK"/>
    <s v="Edward Glenn"/>
    <x v="14"/>
    <s v="Cancelled"/>
    <x v="2"/>
  </r>
  <r>
    <s v="OK"/>
    <s v="Colorado Fields"/>
    <x v="1"/>
    <s v="Nominated"/>
    <x v="1"/>
  </r>
  <r>
    <s v="OK"/>
    <s v="Kathleen Chan"/>
    <x v="11"/>
    <s v="Nominated"/>
    <x v="0"/>
  </r>
  <r>
    <s v="OK"/>
    <s v="Imelda Herring"/>
    <x v="2"/>
    <s v="Nominated"/>
    <x v="4"/>
  </r>
  <r>
    <s v="OK"/>
    <s v="Ali Hernandez"/>
    <x v="6"/>
    <s v="Nominated"/>
    <x v="1"/>
  </r>
  <r>
    <s v="OK"/>
    <s v="Otto Burke"/>
    <x v="11"/>
    <s v="Nominated"/>
    <x v="3"/>
  </r>
  <r>
    <s v="OK"/>
    <s v="Ciaran Becker"/>
    <x v="16"/>
    <s v="Nominated"/>
    <x v="2"/>
  </r>
  <r>
    <s v="OK"/>
    <s v="Ahmed Cortez"/>
    <x v="6"/>
    <s v="Nominated"/>
    <x v="1"/>
  </r>
  <r>
    <s v="OK"/>
    <s v="Roary Snyder"/>
    <x v="10"/>
    <s v="Nominated"/>
    <x v="0"/>
  </r>
  <r>
    <s v="OK"/>
    <s v="Edward Glenn"/>
    <x v="0"/>
    <s v="Nominated"/>
    <x v="3"/>
  </r>
  <r>
    <s v="Duplicate enrollment"/>
    <s v="Barclay Romero"/>
    <x v="1"/>
    <s v="Nominated"/>
    <x v="1"/>
  </r>
  <r>
    <s v="OK"/>
    <s v="David Hernandez"/>
    <x v="0"/>
    <s v="Cancelled"/>
    <x v="5"/>
  </r>
  <r>
    <s v="Course over capacity"/>
    <s v="Perry Ray"/>
    <x v="16"/>
    <s v="Nominated"/>
    <x v="4"/>
  </r>
  <r>
    <s v="OK"/>
    <s v="Kamal Pope"/>
    <x v="13"/>
    <s v="Nominated"/>
    <x v="3"/>
  </r>
  <r>
    <s v="OK"/>
    <s v="Castor Whitney"/>
    <x v="14"/>
    <s v="Nominated"/>
    <x v="4"/>
  </r>
  <r>
    <s v="Duplicate enrollment"/>
    <s v="Kenneth Gallagher"/>
    <x v="0"/>
    <s v="Nominated"/>
    <x v="0"/>
  </r>
  <r>
    <s v="Duplicate enrollment"/>
    <s v="Charity Gross"/>
    <x v="11"/>
    <s v="Nominated"/>
    <x v="0"/>
  </r>
  <r>
    <s v="Course over capacity"/>
    <s v="Ahmed Cortez"/>
    <x v="14"/>
    <s v="Nominated"/>
    <x v="0"/>
  </r>
  <r>
    <s v="OK"/>
    <s v="Bruce Day"/>
    <x v="5"/>
    <s v="Nominated"/>
    <x v="3"/>
  </r>
  <r>
    <s v="Course over capacity"/>
    <s v="David Hernandez"/>
    <x v="11"/>
    <s v="Nominated"/>
    <x v="2"/>
  </r>
  <r>
    <s v="OK"/>
    <s v="Charity Gross"/>
    <x v="7"/>
    <s v="Nominated"/>
    <x v="1"/>
  </r>
  <r>
    <s v="OK"/>
    <s v="Karly Barron"/>
    <x v="1"/>
    <s v="Nominated"/>
    <x v="1"/>
  </r>
  <r>
    <s v="OK"/>
    <s v="Nyssa England"/>
    <x v="5"/>
    <s v="Nominated"/>
    <x v="4"/>
  </r>
  <r>
    <s v="OK"/>
    <s v="Quinlan Mcbride"/>
    <x v="16"/>
    <s v="Nominated"/>
    <x v="2"/>
  </r>
  <r>
    <s v="OK"/>
    <s v="George Mcleod"/>
    <x v="5"/>
    <s v="Nominated"/>
    <x v="0"/>
  </r>
  <r>
    <s v="OK"/>
    <s v="Kamal Pope"/>
    <x v="15"/>
    <s v="Nominated"/>
    <x v="2"/>
  </r>
  <r>
    <s v="OK"/>
    <s v="Keith Mccarty"/>
    <x v="2"/>
    <s v="Nominated"/>
    <x v="3"/>
  </r>
  <r>
    <s v="Duplicate enrollment"/>
    <s v="Barbara Mcconnell"/>
    <x v="3"/>
    <s v="Nominated"/>
    <x v="1"/>
  </r>
  <r>
    <s v="OK"/>
    <s v="George Mcleod"/>
    <x v="16"/>
    <s v="Nominated"/>
    <x v="5"/>
  </r>
  <r>
    <s v="OK"/>
    <s v="Yoshio Pierce"/>
    <x v="7"/>
    <s v="Nominated"/>
    <x v="1"/>
  </r>
  <r>
    <s v="OK"/>
    <s v="Jordan Schneider"/>
    <x v="10"/>
    <s v="Nominated"/>
    <x v="4"/>
  </r>
  <r>
    <s v="OK"/>
    <s v="Asher Workman"/>
    <x v="18"/>
    <s v="Nominated"/>
    <x v="4"/>
  </r>
  <r>
    <s v="OK"/>
    <s v="Basia David"/>
    <x v="7"/>
    <s v="Nominated"/>
    <x v="1"/>
  </r>
  <r>
    <s v="OK"/>
    <s v="Abel Sherman"/>
    <x v="8"/>
    <s v="Nominated"/>
    <x v="3"/>
  </r>
  <r>
    <s v="OK"/>
    <s v="Harrison Ross"/>
    <x v="7"/>
    <s v="Nominated"/>
    <x v="1"/>
  </r>
  <r>
    <s v="OK"/>
    <s v="Mallory Carlson"/>
    <x v="0"/>
    <s v="Nominated"/>
    <x v="4"/>
  </r>
  <r>
    <s v="OK"/>
    <s v="Zeph Gill"/>
    <x v="8"/>
    <s v="Nominated"/>
    <x v="3"/>
  </r>
  <r>
    <s v="OK"/>
    <s v="George Mcleod"/>
    <x v="1"/>
    <s v="Nominated"/>
    <x v="1"/>
  </r>
  <r>
    <s v="Course over capacity"/>
    <s v="Kay Rios"/>
    <x v="13"/>
    <s v="Nominated"/>
    <x v="2"/>
  </r>
  <r>
    <s v="OK"/>
    <s v="Kamal Pope"/>
    <x v="7"/>
    <s v="Nominated"/>
    <x v="1"/>
  </r>
  <r>
    <s v="OK"/>
    <s v="Castor Whitney"/>
    <x v="8"/>
    <s v="Nominated"/>
    <x v="5"/>
  </r>
  <r>
    <s v="OK"/>
    <s v="David Hernandez"/>
    <x v="6"/>
    <s v="Nominated"/>
    <x v="1"/>
  </r>
  <r>
    <s v="OK"/>
    <s v="Nyssa England"/>
    <x v="19"/>
    <s v="Nominated"/>
    <x v="3"/>
  </r>
  <r>
    <s v="OK"/>
    <s v="Kyla Spears"/>
    <x v="18"/>
    <s v="Nominated"/>
    <x v="4"/>
  </r>
  <r>
    <s v="OK"/>
    <s v="Robin Blackburn"/>
    <x v="10"/>
    <s v="Nominated"/>
    <x v="0"/>
  </r>
  <r>
    <s v="OK"/>
    <s v="Kieran Wilson"/>
    <x v="9"/>
    <s v="Nominated"/>
    <x v="0"/>
  </r>
  <r>
    <s v="OK"/>
    <m/>
    <x v="21"/>
    <m/>
    <x v="6"/>
  </r>
  <r>
    <s v="Duplicate enrollment"/>
    <m/>
    <x v="21"/>
    <m/>
    <x v="6"/>
  </r>
  <r>
    <s v="OK"/>
    <m/>
    <x v="21"/>
    <m/>
    <x v="6"/>
  </r>
  <r>
    <s v="OK"/>
    <m/>
    <x v="21"/>
    <m/>
    <x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m/>
    <x v="0"/>
    <m/>
    <x v="0"/>
    <s v="1 - Disaster"/>
  </r>
  <r>
    <x v="1"/>
    <n v="10"/>
    <x v="1"/>
    <n v="5000"/>
    <x v="1"/>
    <n v="2"/>
  </r>
  <r>
    <x v="2"/>
    <n v="5"/>
    <x v="2"/>
    <n v="4000"/>
    <x v="1"/>
    <n v="3"/>
  </r>
  <r>
    <x v="3"/>
    <n v="30"/>
    <x v="3"/>
    <n v="2000"/>
    <x v="1"/>
    <n v="1"/>
  </r>
  <r>
    <x v="4"/>
    <n v="25"/>
    <x v="4"/>
    <n v="6000"/>
    <x v="1"/>
    <n v="1"/>
  </r>
  <r>
    <x v="5"/>
    <n v="20"/>
    <x v="5"/>
    <n v="7000"/>
    <x v="1"/>
    <n v="2"/>
  </r>
  <r>
    <x v="6"/>
    <n v="5"/>
    <x v="3"/>
    <n v="2000"/>
    <x v="1"/>
    <n v="1"/>
  </r>
  <r>
    <x v="7"/>
    <n v="25"/>
    <x v="6"/>
    <n v="2000"/>
    <x v="1"/>
    <n v="0"/>
  </r>
  <r>
    <x v="8"/>
    <n v="15"/>
    <x v="7"/>
    <n v="2000"/>
    <x v="1"/>
    <n v="3"/>
  </r>
  <r>
    <x v="9"/>
    <n v="15"/>
    <x v="1"/>
    <n v="3000"/>
    <x v="1"/>
    <n v="4"/>
  </r>
  <r>
    <x v="10"/>
    <n v="5"/>
    <x v="8"/>
    <n v="7000"/>
    <x v="1"/>
    <n v="0"/>
  </r>
  <r>
    <x v="11"/>
    <n v="20"/>
    <x v="1"/>
    <n v="2000"/>
    <x v="1"/>
    <n v="1"/>
  </r>
  <r>
    <x v="12"/>
    <n v="30"/>
    <x v="1"/>
    <n v="5000"/>
    <x v="1"/>
    <n v="1"/>
  </r>
  <r>
    <x v="13"/>
    <n v="30"/>
    <x v="8"/>
    <n v="7000"/>
    <x v="1"/>
    <n v="0"/>
  </r>
  <r>
    <x v="14"/>
    <n v="20"/>
    <x v="8"/>
    <n v="6000"/>
    <x v="1"/>
    <n v="2"/>
  </r>
  <r>
    <x v="15"/>
    <n v="10"/>
    <x v="5"/>
    <n v="7000"/>
    <x v="1"/>
    <n v="1"/>
  </r>
  <r>
    <x v="16"/>
    <n v="5"/>
    <x v="9"/>
    <n v="5000"/>
    <x v="1"/>
    <n v="2"/>
  </r>
  <r>
    <x v="17"/>
    <n v="30"/>
    <x v="4"/>
    <n v="5000"/>
    <x v="1"/>
    <n v="0"/>
  </r>
  <r>
    <x v="18"/>
    <n v="15"/>
    <x v="4"/>
    <n v="3000"/>
    <x v="1"/>
    <n v="0"/>
  </r>
  <r>
    <x v="19"/>
    <n v="20"/>
    <x v="10"/>
    <n v="3000"/>
    <x v="1"/>
    <n v="0"/>
  </r>
  <r>
    <x v="20"/>
    <n v="30"/>
    <x v="1"/>
    <n v="3000"/>
    <x v="2"/>
    <n v="0"/>
  </r>
  <r>
    <x v="21"/>
    <n v="15"/>
    <x v="11"/>
    <n v="6000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4A480-4CE9-425E-BDE9-747E58698799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E2:F9" firstHeaderRow="1" firstDataRow="1" firstDataCol="1"/>
  <pivotFields count="3">
    <pivotField showAll="0"/>
    <pivotField dataFiel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Row" showAll="0">
      <items count="7">
        <item x="0"/>
        <item x="5"/>
        <item x="4"/>
        <item x="1"/>
        <item x="3"/>
        <item x="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Nam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60FB1-5B62-4437-B793-B14CD83B6E14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2:H24" firstHeaderRow="1" firstDataRow="1" firstDataCol="1"/>
  <pivotFields count="5">
    <pivotField showAll="0"/>
    <pivotField dataField="1" showAll="0"/>
    <pivotField axis="axisRow" showAll="0">
      <items count="23">
        <item x="1"/>
        <item x="6"/>
        <item x="20"/>
        <item x="3"/>
        <item x="7"/>
        <item x="14"/>
        <item x="5"/>
        <item x="9"/>
        <item x="19"/>
        <item x="11"/>
        <item x="10"/>
        <item x="4"/>
        <item x="13"/>
        <item x="16"/>
        <item x="12"/>
        <item x="15"/>
        <item x="8"/>
        <item x="18"/>
        <item x="17"/>
        <item x="0"/>
        <item x="2"/>
        <item h="1" x="21"/>
        <item t="default"/>
      </items>
    </pivotField>
    <pivotField showAll="0"/>
    <pivotField showAll="0">
      <items count="8">
        <item x="2"/>
        <item x="5"/>
        <item x="4"/>
        <item x="3"/>
        <item x="0"/>
        <item x="6"/>
        <item x="1"/>
        <item t="default"/>
      </items>
    </pivotField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Person Name" fld="1" subtotal="count" baseField="0" baseItem="0"/>
  </dataFields>
  <formats count="24"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4" type="button" dataOnly="0" labelOnly="1" outline="0"/>
    </format>
    <format dxfId="21">
      <pivotArea type="topRight" dataOnly="0" labelOnly="1" outline="0" fieldPosition="0"/>
    </format>
    <format dxfId="20">
      <pivotArea field="2" type="button" dataOnly="0" labelOnly="1" outline="0" axis="axisRow" fieldPosition="0"/>
    </format>
    <format dxfId="19">
      <pivotArea dataOnly="0" labelOnly="1" grandRow="1" outline="0" fieldPosition="0"/>
    </format>
    <format dxfId="18">
      <pivotArea dataOnly="0" labelOnly="1" grandCol="1" outline="0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4" type="button" dataOnly="0" labelOnly="1" outline="0"/>
    </format>
    <format dxfId="13">
      <pivotArea type="topRight" dataOnly="0" labelOnly="1" outline="0" fieldPosition="0"/>
    </format>
    <format dxfId="12">
      <pivotArea field="2" type="button" dataOnly="0" labelOnly="1" outline="0" axis="axisRow" fieldPosition="0"/>
    </format>
    <format dxfId="11">
      <pivotArea dataOnly="0" labelOnly="1" grandRow="1" outline="0" fieldPosition="0"/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4" type="button" dataOnly="0" labelOnly="1" outline="0"/>
    </format>
    <format dxfId="5">
      <pivotArea type="topRight" dataOnly="0" labelOnly="1" outline="0" fieldPosition="0"/>
    </format>
    <format dxfId="4">
      <pivotArea field="2" type="button" dataOnly="0" labelOnly="1" outline="0" axis="axisRow" fieldPosition="0"/>
    </format>
    <format dxfId="3">
      <pivotArea dataOnly="0" labelOnly="1" grandRow="1" outline="0" fieldPosition="0"/>
    </format>
    <format dxfId="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42CFD-663C-4FA0-94CD-134B1B3864BF}" name="PivotTable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Q2:S5" firstHeaderRow="0" firstDataRow="1" firstDataCol="1"/>
  <pivotFields count="6">
    <pivotField showAll="0">
      <items count="23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dataField="1" showAll="0">
      <items count="13">
        <item x="10"/>
        <item x="6"/>
        <item x="3"/>
        <item x="8"/>
        <item x="4"/>
        <item x="5"/>
        <item x="9"/>
        <item x="1"/>
        <item x="7"/>
        <item x="11"/>
        <item x="2"/>
        <item x="0"/>
        <item t="default"/>
      </items>
    </pivotField>
    <pivotField showAll="0"/>
    <pivotField axis="axisRow" showAll="0">
      <items count="4">
        <item x="1"/>
        <item x="2"/>
        <item h="1" x="0"/>
        <item t="default"/>
      </items>
    </pivotField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 Number of Participants" fld="2" baseField="0" baseItem="0"/>
    <dataField name="Sum of Training Capacity 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EBBA-4B21-4CAD-B711-211EAF446273}">
  <sheetPr>
    <tabColor rgb="FFFFFF00"/>
  </sheetPr>
  <dimension ref="A1:DA101"/>
  <sheetViews>
    <sheetView tabSelected="1" workbookViewId="0"/>
  </sheetViews>
  <sheetFormatPr defaultColWidth="9.109375" defaultRowHeight="14.4" x14ac:dyDescent="0.3"/>
  <cols>
    <col min="1" max="1" width="6.109375" style="1" bestFit="1" customWidth="1"/>
    <col min="2" max="2" width="21.109375" style="1" bestFit="1" customWidth="1"/>
    <col min="3" max="3" width="11.6640625" style="1" bestFit="1" customWidth="1"/>
    <col min="4" max="4" width="9.109375" style="1"/>
    <col min="5" max="5" width="13.109375" style="1" bestFit="1" customWidth="1"/>
    <col min="6" max="6" width="14.44140625" style="1" bestFit="1" customWidth="1"/>
    <col min="7" max="7" width="3.44140625" style="1" bestFit="1" customWidth="1"/>
    <col min="8" max="8" width="3" style="1" bestFit="1" customWidth="1"/>
    <col min="9" max="9" width="10.109375" style="1" bestFit="1" customWidth="1"/>
    <col min="10" max="10" width="10.88671875" style="1" bestFit="1" customWidth="1"/>
    <col min="11" max="11" width="5.5546875" style="1" bestFit="1" customWidth="1"/>
    <col min="12" max="12" width="11.33203125" style="1" bestFit="1" customWidth="1"/>
    <col min="13" max="104" width="21.44140625" style="1" bestFit="1" customWidth="1"/>
    <col min="105" max="105" width="11.33203125" style="1" bestFit="1" customWidth="1"/>
    <col min="106" max="16384" width="9.109375" style="1"/>
  </cols>
  <sheetData>
    <row r="1" spans="1:105" s="4" customFormat="1" x14ac:dyDescent="0.3">
      <c r="A1" s="3" t="s">
        <v>100</v>
      </c>
      <c r="B1" s="3" t="s">
        <v>137</v>
      </c>
      <c r="C1" s="3" t="s">
        <v>138</v>
      </c>
    </row>
    <row r="2" spans="1:105" x14ac:dyDescent="0.3">
      <c r="A2" s="2" t="s">
        <v>139</v>
      </c>
      <c r="B2" s="2" t="s">
        <v>30</v>
      </c>
      <c r="C2" s="2" t="s">
        <v>140</v>
      </c>
      <c r="E2" s="9" t="s">
        <v>281</v>
      </c>
      <c r="F2" t="s">
        <v>283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</row>
    <row r="3" spans="1:105" x14ac:dyDescent="0.3">
      <c r="A3" s="2" t="s">
        <v>141</v>
      </c>
      <c r="B3" s="2" t="s">
        <v>8</v>
      </c>
      <c r="C3" s="2" t="s">
        <v>142</v>
      </c>
      <c r="E3" s="10" t="s">
        <v>140</v>
      </c>
      <c r="F3">
        <v>28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</row>
    <row r="4" spans="1:105" x14ac:dyDescent="0.3">
      <c r="A4" s="2" t="s">
        <v>143</v>
      </c>
      <c r="B4" s="2" t="s">
        <v>71</v>
      </c>
      <c r="C4" s="2" t="s">
        <v>144</v>
      </c>
      <c r="E4" s="10" t="s">
        <v>166</v>
      </c>
      <c r="F4">
        <v>11</v>
      </c>
      <c r="G4"/>
      <c r="H4"/>
      <c r="I4"/>
      <c r="J4"/>
      <c r="K4"/>
      <c r="L4"/>
    </row>
    <row r="5" spans="1:105" x14ac:dyDescent="0.3">
      <c r="A5" s="2" t="s">
        <v>145</v>
      </c>
      <c r="B5" s="2" t="s">
        <v>60</v>
      </c>
      <c r="C5" s="2" t="s">
        <v>142</v>
      </c>
      <c r="E5" s="10" t="s">
        <v>151</v>
      </c>
      <c r="F5">
        <v>15</v>
      </c>
      <c r="G5"/>
    </row>
    <row r="6" spans="1:105" x14ac:dyDescent="0.3">
      <c r="A6" s="2" t="s">
        <v>146</v>
      </c>
      <c r="B6" s="2" t="s">
        <v>147</v>
      </c>
      <c r="C6" s="2" t="s">
        <v>148</v>
      </c>
      <c r="E6" s="10" t="s">
        <v>142</v>
      </c>
      <c r="F6">
        <v>16</v>
      </c>
      <c r="G6"/>
    </row>
    <row r="7" spans="1:105" x14ac:dyDescent="0.3">
      <c r="A7" s="2" t="s">
        <v>149</v>
      </c>
      <c r="B7" s="2" t="s">
        <v>150</v>
      </c>
      <c r="C7" s="2" t="s">
        <v>151</v>
      </c>
      <c r="E7" s="10" t="s">
        <v>148</v>
      </c>
      <c r="F7">
        <v>16</v>
      </c>
      <c r="G7"/>
    </row>
    <row r="8" spans="1:105" x14ac:dyDescent="0.3">
      <c r="A8" s="2" t="s">
        <v>152</v>
      </c>
      <c r="B8" s="2" t="s">
        <v>93</v>
      </c>
      <c r="C8" s="2" t="s">
        <v>151</v>
      </c>
      <c r="E8" s="10" t="s">
        <v>144</v>
      </c>
      <c r="F8">
        <v>14</v>
      </c>
      <c r="G8"/>
    </row>
    <row r="9" spans="1:105" x14ac:dyDescent="0.3">
      <c r="A9" s="2" t="s">
        <v>153</v>
      </c>
      <c r="B9" s="2" t="s">
        <v>69</v>
      </c>
      <c r="C9" s="2" t="s">
        <v>144</v>
      </c>
      <c r="E9" s="10" t="s">
        <v>282</v>
      </c>
      <c r="F9">
        <v>100</v>
      </c>
      <c r="G9"/>
    </row>
    <row r="10" spans="1:105" x14ac:dyDescent="0.3">
      <c r="A10" s="2" t="s">
        <v>154</v>
      </c>
      <c r="B10" s="2" t="s">
        <v>51</v>
      </c>
      <c r="C10" s="2" t="s">
        <v>148</v>
      </c>
      <c r="E10"/>
      <c r="F10"/>
      <c r="G10"/>
    </row>
    <row r="11" spans="1:105" x14ac:dyDescent="0.3">
      <c r="A11" s="2" t="s">
        <v>155</v>
      </c>
      <c r="B11" s="2" t="s">
        <v>156</v>
      </c>
      <c r="C11" s="2" t="s">
        <v>140</v>
      </c>
      <c r="E11"/>
      <c r="F11"/>
      <c r="G11"/>
    </row>
    <row r="12" spans="1:105" x14ac:dyDescent="0.3">
      <c r="A12" s="2" t="s">
        <v>157</v>
      </c>
      <c r="B12" s="2" t="s">
        <v>28</v>
      </c>
      <c r="C12" s="2" t="s">
        <v>140</v>
      </c>
      <c r="E12"/>
      <c r="F12"/>
      <c r="G12"/>
    </row>
    <row r="13" spans="1:105" x14ac:dyDescent="0.3">
      <c r="A13" s="2" t="s">
        <v>158</v>
      </c>
      <c r="B13" s="2" t="s">
        <v>72</v>
      </c>
      <c r="C13" s="2" t="s">
        <v>144</v>
      </c>
      <c r="E13"/>
      <c r="F13"/>
      <c r="G13"/>
    </row>
    <row r="14" spans="1:105" x14ac:dyDescent="0.3">
      <c r="A14" s="2" t="s">
        <v>159</v>
      </c>
      <c r="B14" s="2" t="s">
        <v>160</v>
      </c>
      <c r="C14" s="2" t="s">
        <v>148</v>
      </c>
      <c r="E14"/>
      <c r="F14"/>
      <c r="G14"/>
    </row>
    <row r="15" spans="1:105" x14ac:dyDescent="0.3">
      <c r="A15" s="2" t="s">
        <v>161</v>
      </c>
      <c r="B15" s="2" t="s">
        <v>63</v>
      </c>
      <c r="C15" s="2" t="s">
        <v>142</v>
      </c>
      <c r="E15"/>
      <c r="F15"/>
      <c r="G15"/>
    </row>
    <row r="16" spans="1:105" x14ac:dyDescent="0.3">
      <c r="A16" s="2" t="s">
        <v>162</v>
      </c>
      <c r="B16" s="2" t="s">
        <v>163</v>
      </c>
      <c r="C16" s="2" t="s">
        <v>148</v>
      </c>
      <c r="E16"/>
      <c r="F16"/>
      <c r="G16"/>
    </row>
    <row r="17" spans="1:7" x14ac:dyDescent="0.3">
      <c r="A17" s="2" t="s">
        <v>164</v>
      </c>
      <c r="B17" s="2" t="s">
        <v>80</v>
      </c>
      <c r="C17" s="2" t="s">
        <v>140</v>
      </c>
      <c r="E17"/>
      <c r="F17"/>
      <c r="G17"/>
    </row>
    <row r="18" spans="1:7" x14ac:dyDescent="0.3">
      <c r="A18" s="2" t="s">
        <v>165</v>
      </c>
      <c r="B18" s="2" t="s">
        <v>43</v>
      </c>
      <c r="C18" s="2" t="s">
        <v>166</v>
      </c>
      <c r="E18"/>
      <c r="F18"/>
      <c r="G18"/>
    </row>
    <row r="19" spans="1:7" x14ac:dyDescent="0.3">
      <c r="A19" s="2" t="s">
        <v>167</v>
      </c>
      <c r="B19" s="2" t="s">
        <v>83</v>
      </c>
      <c r="C19" s="2" t="s">
        <v>144</v>
      </c>
      <c r="E19"/>
      <c r="F19"/>
      <c r="G19"/>
    </row>
    <row r="20" spans="1:7" x14ac:dyDescent="0.3">
      <c r="A20" s="2" t="s">
        <v>168</v>
      </c>
      <c r="B20" s="2" t="s">
        <v>27</v>
      </c>
      <c r="C20" s="2" t="s">
        <v>148</v>
      </c>
    </row>
    <row r="21" spans="1:7" x14ac:dyDescent="0.3">
      <c r="A21" s="2" t="s">
        <v>169</v>
      </c>
      <c r="B21" s="2" t="s">
        <v>85</v>
      </c>
      <c r="C21" s="2" t="s">
        <v>140</v>
      </c>
    </row>
    <row r="22" spans="1:7" x14ac:dyDescent="0.3">
      <c r="A22" s="2" t="s">
        <v>170</v>
      </c>
      <c r="B22" s="2" t="s">
        <v>13</v>
      </c>
      <c r="C22" s="2" t="s">
        <v>140</v>
      </c>
    </row>
    <row r="23" spans="1:7" x14ac:dyDescent="0.3">
      <c r="A23" s="2" t="s">
        <v>171</v>
      </c>
      <c r="B23" s="2" t="s">
        <v>90</v>
      </c>
      <c r="C23" s="2" t="s">
        <v>148</v>
      </c>
    </row>
    <row r="24" spans="1:7" x14ac:dyDescent="0.3">
      <c r="A24" s="2" t="s">
        <v>172</v>
      </c>
      <c r="B24" s="2" t="s">
        <v>173</v>
      </c>
      <c r="C24" s="2" t="s">
        <v>142</v>
      </c>
    </row>
    <row r="25" spans="1:7" x14ac:dyDescent="0.3">
      <c r="A25" s="2" t="s">
        <v>174</v>
      </c>
      <c r="B25" s="2" t="s">
        <v>38</v>
      </c>
      <c r="C25" s="2" t="s">
        <v>140</v>
      </c>
    </row>
    <row r="26" spans="1:7" x14ac:dyDescent="0.3">
      <c r="A26" s="2" t="s">
        <v>175</v>
      </c>
      <c r="B26" s="2" t="s">
        <v>62</v>
      </c>
      <c r="C26" s="2" t="s">
        <v>142</v>
      </c>
    </row>
    <row r="27" spans="1:7" x14ac:dyDescent="0.3">
      <c r="A27" s="2" t="s">
        <v>176</v>
      </c>
      <c r="B27" s="2" t="s">
        <v>25</v>
      </c>
      <c r="C27" s="2" t="s">
        <v>151</v>
      </c>
    </row>
    <row r="28" spans="1:7" x14ac:dyDescent="0.3">
      <c r="A28" s="2" t="s">
        <v>177</v>
      </c>
      <c r="B28" s="2" t="s">
        <v>178</v>
      </c>
      <c r="C28" s="2" t="s">
        <v>142</v>
      </c>
    </row>
    <row r="29" spans="1:7" x14ac:dyDescent="0.3">
      <c r="A29" s="2" t="s">
        <v>179</v>
      </c>
      <c r="B29" s="2" t="s">
        <v>20</v>
      </c>
      <c r="C29" s="2" t="s">
        <v>144</v>
      </c>
    </row>
    <row r="30" spans="1:7" x14ac:dyDescent="0.3">
      <c r="A30" s="2" t="s">
        <v>180</v>
      </c>
      <c r="B30" s="2" t="s">
        <v>181</v>
      </c>
      <c r="C30" s="2" t="s">
        <v>166</v>
      </c>
    </row>
    <row r="31" spans="1:7" x14ac:dyDescent="0.3">
      <c r="A31" s="2" t="s">
        <v>182</v>
      </c>
      <c r="B31" s="2" t="s">
        <v>35</v>
      </c>
      <c r="C31" s="2" t="s">
        <v>140</v>
      </c>
    </row>
    <row r="32" spans="1:7" x14ac:dyDescent="0.3">
      <c r="A32" s="2" t="s">
        <v>183</v>
      </c>
      <c r="B32" s="2" t="s">
        <v>184</v>
      </c>
      <c r="C32" s="2" t="s">
        <v>148</v>
      </c>
    </row>
    <row r="33" spans="1:3" x14ac:dyDescent="0.3">
      <c r="A33" s="2" t="s">
        <v>185</v>
      </c>
      <c r="B33" s="2" t="s">
        <v>186</v>
      </c>
      <c r="C33" s="2" t="s">
        <v>151</v>
      </c>
    </row>
    <row r="34" spans="1:3" x14ac:dyDescent="0.3">
      <c r="A34" s="2" t="s">
        <v>187</v>
      </c>
      <c r="B34" s="2" t="s">
        <v>188</v>
      </c>
      <c r="C34" s="2" t="s">
        <v>142</v>
      </c>
    </row>
    <row r="35" spans="1:3" x14ac:dyDescent="0.3">
      <c r="A35" s="2" t="s">
        <v>189</v>
      </c>
      <c r="B35" s="2" t="s">
        <v>47</v>
      </c>
      <c r="C35" s="2" t="s">
        <v>140</v>
      </c>
    </row>
    <row r="36" spans="1:3" x14ac:dyDescent="0.3">
      <c r="A36" s="2" t="s">
        <v>190</v>
      </c>
      <c r="B36" s="2" t="s">
        <v>75</v>
      </c>
      <c r="C36" s="2" t="s">
        <v>166</v>
      </c>
    </row>
    <row r="37" spans="1:3" x14ac:dyDescent="0.3">
      <c r="A37" s="2" t="s">
        <v>191</v>
      </c>
      <c r="B37" s="2" t="s">
        <v>192</v>
      </c>
      <c r="C37" s="2" t="s">
        <v>166</v>
      </c>
    </row>
    <row r="38" spans="1:3" x14ac:dyDescent="0.3">
      <c r="A38" s="2" t="s">
        <v>193</v>
      </c>
      <c r="B38" s="2" t="s">
        <v>82</v>
      </c>
      <c r="C38" s="2" t="s">
        <v>142</v>
      </c>
    </row>
    <row r="39" spans="1:3" x14ac:dyDescent="0.3">
      <c r="A39" s="2" t="s">
        <v>194</v>
      </c>
      <c r="B39" s="2" t="s">
        <v>70</v>
      </c>
      <c r="C39" s="2" t="s">
        <v>140</v>
      </c>
    </row>
    <row r="40" spans="1:3" x14ac:dyDescent="0.3">
      <c r="A40" s="2" t="s">
        <v>195</v>
      </c>
      <c r="B40" s="2" t="s">
        <v>33</v>
      </c>
      <c r="C40" s="2" t="s">
        <v>144</v>
      </c>
    </row>
    <row r="41" spans="1:3" x14ac:dyDescent="0.3">
      <c r="A41" s="2" t="s">
        <v>196</v>
      </c>
      <c r="B41" s="2" t="s">
        <v>40</v>
      </c>
      <c r="C41" s="2" t="s">
        <v>140</v>
      </c>
    </row>
    <row r="42" spans="1:3" x14ac:dyDescent="0.3">
      <c r="A42" s="2" t="s">
        <v>197</v>
      </c>
      <c r="B42" s="2" t="s">
        <v>198</v>
      </c>
      <c r="C42" s="2" t="s">
        <v>142</v>
      </c>
    </row>
    <row r="43" spans="1:3" x14ac:dyDescent="0.3">
      <c r="A43" s="2" t="s">
        <v>199</v>
      </c>
      <c r="B43" s="2" t="s">
        <v>37</v>
      </c>
      <c r="C43" s="2" t="s">
        <v>166</v>
      </c>
    </row>
    <row r="44" spans="1:3" x14ac:dyDescent="0.3">
      <c r="A44" s="2" t="s">
        <v>200</v>
      </c>
      <c r="B44" s="2" t="s">
        <v>10</v>
      </c>
      <c r="C44" s="2" t="s">
        <v>151</v>
      </c>
    </row>
    <row r="45" spans="1:3" x14ac:dyDescent="0.3">
      <c r="A45" s="2" t="s">
        <v>201</v>
      </c>
      <c r="B45" s="2" t="s">
        <v>53</v>
      </c>
      <c r="C45" s="2" t="s">
        <v>140</v>
      </c>
    </row>
    <row r="46" spans="1:3" x14ac:dyDescent="0.3">
      <c r="A46" s="2" t="s">
        <v>202</v>
      </c>
      <c r="B46" s="2" t="s">
        <v>74</v>
      </c>
      <c r="C46" s="2" t="s">
        <v>142</v>
      </c>
    </row>
    <row r="47" spans="1:3" x14ac:dyDescent="0.3">
      <c r="A47" s="2" t="s">
        <v>203</v>
      </c>
      <c r="B47" s="2" t="s">
        <v>204</v>
      </c>
      <c r="C47" s="2" t="s">
        <v>151</v>
      </c>
    </row>
    <row r="48" spans="1:3" x14ac:dyDescent="0.3">
      <c r="A48" s="2" t="s">
        <v>205</v>
      </c>
      <c r="B48" s="2" t="s">
        <v>206</v>
      </c>
      <c r="C48" s="2" t="s">
        <v>140</v>
      </c>
    </row>
    <row r="49" spans="1:3" x14ac:dyDescent="0.3">
      <c r="A49" s="2" t="s">
        <v>207</v>
      </c>
      <c r="B49" s="2" t="s">
        <v>208</v>
      </c>
      <c r="C49" s="2" t="s">
        <v>142</v>
      </c>
    </row>
    <row r="50" spans="1:3" x14ac:dyDescent="0.3">
      <c r="A50" s="2" t="s">
        <v>209</v>
      </c>
      <c r="B50" s="2" t="s">
        <v>42</v>
      </c>
      <c r="C50" s="2" t="s">
        <v>140</v>
      </c>
    </row>
    <row r="51" spans="1:3" x14ac:dyDescent="0.3">
      <c r="A51" s="2" t="s">
        <v>210</v>
      </c>
      <c r="B51" s="2" t="s">
        <v>211</v>
      </c>
      <c r="C51" s="2" t="s">
        <v>151</v>
      </c>
    </row>
    <row r="52" spans="1:3" x14ac:dyDescent="0.3">
      <c r="A52" s="2" t="s">
        <v>212</v>
      </c>
      <c r="B52" s="2" t="s">
        <v>213</v>
      </c>
      <c r="C52" s="2" t="s">
        <v>148</v>
      </c>
    </row>
    <row r="53" spans="1:3" x14ac:dyDescent="0.3">
      <c r="A53" s="2" t="s">
        <v>214</v>
      </c>
      <c r="B53" s="2" t="s">
        <v>36</v>
      </c>
      <c r="C53" s="2" t="s">
        <v>148</v>
      </c>
    </row>
    <row r="54" spans="1:3" x14ac:dyDescent="0.3">
      <c r="A54" s="2" t="s">
        <v>215</v>
      </c>
      <c r="B54" s="2" t="s">
        <v>58</v>
      </c>
      <c r="C54" s="2" t="s">
        <v>148</v>
      </c>
    </row>
    <row r="55" spans="1:3" x14ac:dyDescent="0.3">
      <c r="A55" s="2" t="s">
        <v>216</v>
      </c>
      <c r="B55" s="2" t="s">
        <v>45</v>
      </c>
      <c r="C55" s="2" t="s">
        <v>140</v>
      </c>
    </row>
    <row r="56" spans="1:3" x14ac:dyDescent="0.3">
      <c r="A56" s="2" t="s">
        <v>217</v>
      </c>
      <c r="B56" s="2" t="s">
        <v>79</v>
      </c>
      <c r="C56" s="2" t="s">
        <v>166</v>
      </c>
    </row>
    <row r="57" spans="1:3" x14ac:dyDescent="0.3">
      <c r="A57" s="2" t="s">
        <v>218</v>
      </c>
      <c r="B57" s="2" t="s">
        <v>67</v>
      </c>
      <c r="C57" s="2" t="s">
        <v>140</v>
      </c>
    </row>
    <row r="58" spans="1:3" x14ac:dyDescent="0.3">
      <c r="A58" s="2" t="s">
        <v>219</v>
      </c>
      <c r="B58" s="2" t="s">
        <v>220</v>
      </c>
      <c r="C58" s="2" t="s">
        <v>151</v>
      </c>
    </row>
    <row r="59" spans="1:3" x14ac:dyDescent="0.3">
      <c r="A59" s="2" t="s">
        <v>221</v>
      </c>
      <c r="B59" s="2" t="s">
        <v>15</v>
      </c>
      <c r="C59" s="2" t="s">
        <v>144</v>
      </c>
    </row>
    <row r="60" spans="1:3" x14ac:dyDescent="0.3">
      <c r="A60" s="2" t="s">
        <v>222</v>
      </c>
      <c r="B60" s="2" t="s">
        <v>223</v>
      </c>
      <c r="C60" s="2" t="s">
        <v>142</v>
      </c>
    </row>
    <row r="61" spans="1:3" x14ac:dyDescent="0.3">
      <c r="A61" s="2" t="s">
        <v>224</v>
      </c>
      <c r="B61" s="2" t="s">
        <v>87</v>
      </c>
      <c r="C61" s="2" t="s">
        <v>151</v>
      </c>
    </row>
    <row r="62" spans="1:3" x14ac:dyDescent="0.3">
      <c r="A62" s="2" t="s">
        <v>225</v>
      </c>
      <c r="B62" s="2" t="s">
        <v>226</v>
      </c>
      <c r="C62" s="2" t="s">
        <v>140</v>
      </c>
    </row>
    <row r="63" spans="1:3" x14ac:dyDescent="0.3">
      <c r="A63" s="2" t="s">
        <v>227</v>
      </c>
      <c r="B63" s="2" t="s">
        <v>95</v>
      </c>
      <c r="C63" s="2" t="s">
        <v>166</v>
      </c>
    </row>
    <row r="64" spans="1:3" x14ac:dyDescent="0.3">
      <c r="A64" s="2" t="s">
        <v>228</v>
      </c>
      <c r="B64" s="2" t="s">
        <v>229</v>
      </c>
      <c r="C64" s="2" t="s">
        <v>140</v>
      </c>
    </row>
    <row r="65" spans="1:3" x14ac:dyDescent="0.3">
      <c r="A65" s="2" t="s">
        <v>230</v>
      </c>
      <c r="B65" s="2" t="s">
        <v>86</v>
      </c>
      <c r="C65" s="2" t="s">
        <v>166</v>
      </c>
    </row>
    <row r="66" spans="1:3" x14ac:dyDescent="0.3">
      <c r="A66" s="2" t="s">
        <v>231</v>
      </c>
      <c r="B66" s="2" t="s">
        <v>232</v>
      </c>
      <c r="C66" s="2" t="s">
        <v>151</v>
      </c>
    </row>
    <row r="67" spans="1:3" x14ac:dyDescent="0.3">
      <c r="A67" s="2" t="s">
        <v>233</v>
      </c>
      <c r="B67" s="2" t="s">
        <v>49</v>
      </c>
      <c r="C67" s="2" t="s">
        <v>144</v>
      </c>
    </row>
    <row r="68" spans="1:3" x14ac:dyDescent="0.3">
      <c r="A68" s="2" t="s">
        <v>234</v>
      </c>
      <c r="B68" s="2" t="s">
        <v>34</v>
      </c>
      <c r="C68" s="2" t="s">
        <v>166</v>
      </c>
    </row>
    <row r="69" spans="1:3" x14ac:dyDescent="0.3">
      <c r="A69" s="2" t="s">
        <v>235</v>
      </c>
      <c r="B69" s="2" t="s">
        <v>88</v>
      </c>
      <c r="C69" s="2" t="s">
        <v>151</v>
      </c>
    </row>
    <row r="70" spans="1:3" x14ac:dyDescent="0.3">
      <c r="A70" s="2" t="s">
        <v>236</v>
      </c>
      <c r="B70" s="2" t="s">
        <v>68</v>
      </c>
      <c r="C70" s="2" t="s">
        <v>142</v>
      </c>
    </row>
    <row r="71" spans="1:3" x14ac:dyDescent="0.3">
      <c r="A71" s="2" t="s">
        <v>237</v>
      </c>
      <c r="B71" s="2" t="s">
        <v>238</v>
      </c>
      <c r="C71" s="2" t="s">
        <v>151</v>
      </c>
    </row>
    <row r="72" spans="1:3" x14ac:dyDescent="0.3">
      <c r="A72" s="2" t="s">
        <v>239</v>
      </c>
      <c r="B72" s="2" t="s">
        <v>240</v>
      </c>
      <c r="C72" s="2" t="s">
        <v>140</v>
      </c>
    </row>
    <row r="73" spans="1:3" x14ac:dyDescent="0.3">
      <c r="A73" s="2" t="s">
        <v>241</v>
      </c>
      <c r="B73" s="2" t="s">
        <v>64</v>
      </c>
      <c r="C73" s="2" t="s">
        <v>142</v>
      </c>
    </row>
    <row r="74" spans="1:3" x14ac:dyDescent="0.3">
      <c r="A74" s="2" t="s">
        <v>242</v>
      </c>
      <c r="B74" s="2" t="s">
        <v>81</v>
      </c>
      <c r="C74" s="2" t="s">
        <v>140</v>
      </c>
    </row>
    <row r="75" spans="1:3" x14ac:dyDescent="0.3">
      <c r="A75" s="2" t="s">
        <v>243</v>
      </c>
      <c r="B75" s="2" t="s">
        <v>66</v>
      </c>
      <c r="C75" s="2" t="s">
        <v>151</v>
      </c>
    </row>
    <row r="76" spans="1:3" x14ac:dyDescent="0.3">
      <c r="A76" s="2" t="s">
        <v>244</v>
      </c>
      <c r="B76" s="2" t="s">
        <v>245</v>
      </c>
      <c r="C76" s="2" t="s">
        <v>148</v>
      </c>
    </row>
    <row r="77" spans="1:3" x14ac:dyDescent="0.3">
      <c r="A77" s="2" t="s">
        <v>246</v>
      </c>
      <c r="B77" s="2" t="s">
        <v>92</v>
      </c>
      <c r="C77" s="2" t="s">
        <v>166</v>
      </c>
    </row>
    <row r="78" spans="1:3" x14ac:dyDescent="0.3">
      <c r="A78" s="2" t="s">
        <v>247</v>
      </c>
      <c r="B78" s="2" t="s">
        <v>18</v>
      </c>
      <c r="C78" s="2" t="s">
        <v>144</v>
      </c>
    </row>
    <row r="79" spans="1:3" x14ac:dyDescent="0.3">
      <c r="A79" s="2" t="s">
        <v>248</v>
      </c>
      <c r="B79" s="2" t="s">
        <v>55</v>
      </c>
      <c r="C79" s="2" t="s">
        <v>151</v>
      </c>
    </row>
    <row r="80" spans="1:3" x14ac:dyDescent="0.3">
      <c r="A80" s="2" t="s">
        <v>249</v>
      </c>
      <c r="B80" s="2" t="s">
        <v>250</v>
      </c>
      <c r="C80" s="2" t="s">
        <v>148</v>
      </c>
    </row>
    <row r="81" spans="1:3" x14ac:dyDescent="0.3">
      <c r="A81" s="2" t="s">
        <v>251</v>
      </c>
      <c r="B81" s="2" t="s">
        <v>48</v>
      </c>
      <c r="C81" s="2" t="s">
        <v>140</v>
      </c>
    </row>
    <row r="82" spans="1:3" x14ac:dyDescent="0.3">
      <c r="A82" s="2" t="s">
        <v>252</v>
      </c>
      <c r="B82" s="2" t="s">
        <v>44</v>
      </c>
      <c r="C82" s="2" t="s">
        <v>140</v>
      </c>
    </row>
    <row r="83" spans="1:3" x14ac:dyDescent="0.3">
      <c r="A83" s="2" t="s">
        <v>253</v>
      </c>
      <c r="B83" s="2" t="s">
        <v>91</v>
      </c>
      <c r="C83" s="2" t="s">
        <v>144</v>
      </c>
    </row>
    <row r="84" spans="1:3" x14ac:dyDescent="0.3">
      <c r="A84" s="2" t="s">
        <v>254</v>
      </c>
      <c r="B84" s="2" t="s">
        <v>78</v>
      </c>
      <c r="C84" s="2" t="s">
        <v>140</v>
      </c>
    </row>
    <row r="85" spans="1:3" x14ac:dyDescent="0.3">
      <c r="A85" s="2" t="s">
        <v>255</v>
      </c>
      <c r="B85" s="2" t="s">
        <v>84</v>
      </c>
      <c r="C85" s="2" t="s">
        <v>144</v>
      </c>
    </row>
    <row r="86" spans="1:3" x14ac:dyDescent="0.3">
      <c r="A86" s="2" t="s">
        <v>256</v>
      </c>
      <c r="B86" s="2" t="s">
        <v>257</v>
      </c>
      <c r="C86" s="2" t="s">
        <v>140</v>
      </c>
    </row>
    <row r="87" spans="1:3" x14ac:dyDescent="0.3">
      <c r="A87" s="2" t="s">
        <v>258</v>
      </c>
      <c r="B87" s="2" t="s">
        <v>259</v>
      </c>
      <c r="C87" s="2" t="s">
        <v>142</v>
      </c>
    </row>
    <row r="88" spans="1:3" x14ac:dyDescent="0.3">
      <c r="A88" s="2" t="s">
        <v>260</v>
      </c>
      <c r="B88" s="2" t="s">
        <v>261</v>
      </c>
      <c r="C88" s="2" t="s">
        <v>148</v>
      </c>
    </row>
    <row r="89" spans="1:3" x14ac:dyDescent="0.3">
      <c r="A89" s="2" t="s">
        <v>262</v>
      </c>
      <c r="B89" s="2" t="s">
        <v>57</v>
      </c>
      <c r="C89" s="2" t="s">
        <v>148</v>
      </c>
    </row>
    <row r="90" spans="1:3" x14ac:dyDescent="0.3">
      <c r="A90" s="2" t="s">
        <v>263</v>
      </c>
      <c r="B90" s="2" t="s">
        <v>264</v>
      </c>
      <c r="C90" s="2" t="s">
        <v>140</v>
      </c>
    </row>
    <row r="91" spans="1:3" x14ac:dyDescent="0.3">
      <c r="A91" s="2" t="s">
        <v>265</v>
      </c>
      <c r="B91" s="2" t="s">
        <v>266</v>
      </c>
      <c r="C91" s="2" t="s">
        <v>148</v>
      </c>
    </row>
    <row r="92" spans="1:3" x14ac:dyDescent="0.3">
      <c r="A92" s="2" t="s">
        <v>267</v>
      </c>
      <c r="B92" s="2" t="s">
        <v>22</v>
      </c>
      <c r="C92" s="2" t="s">
        <v>148</v>
      </c>
    </row>
    <row r="93" spans="1:3" x14ac:dyDescent="0.3">
      <c r="A93" s="2" t="s">
        <v>268</v>
      </c>
      <c r="B93" s="2" t="s">
        <v>269</v>
      </c>
      <c r="C93" s="2" t="s">
        <v>140</v>
      </c>
    </row>
    <row r="94" spans="1:3" x14ac:dyDescent="0.3">
      <c r="A94" s="2" t="s">
        <v>270</v>
      </c>
      <c r="B94" s="2" t="s">
        <v>4</v>
      </c>
      <c r="C94" s="2" t="s">
        <v>151</v>
      </c>
    </row>
    <row r="95" spans="1:3" x14ac:dyDescent="0.3">
      <c r="A95" s="2" t="s">
        <v>271</v>
      </c>
      <c r="B95" s="2" t="s">
        <v>41</v>
      </c>
      <c r="C95" s="2" t="s">
        <v>140</v>
      </c>
    </row>
    <row r="96" spans="1:3" x14ac:dyDescent="0.3">
      <c r="A96" s="2" t="s">
        <v>272</v>
      </c>
      <c r="B96" s="2" t="s">
        <v>273</v>
      </c>
      <c r="C96" s="2" t="s">
        <v>144</v>
      </c>
    </row>
    <row r="97" spans="1:3" x14ac:dyDescent="0.3">
      <c r="A97" s="2" t="s">
        <v>274</v>
      </c>
      <c r="B97" s="2" t="s">
        <v>77</v>
      </c>
      <c r="C97" s="2" t="s">
        <v>144</v>
      </c>
    </row>
    <row r="98" spans="1:3" x14ac:dyDescent="0.3">
      <c r="A98" s="2" t="s">
        <v>275</v>
      </c>
      <c r="B98" s="2" t="s">
        <v>276</v>
      </c>
      <c r="C98" s="2" t="s">
        <v>166</v>
      </c>
    </row>
    <row r="99" spans="1:3" x14ac:dyDescent="0.3">
      <c r="A99" s="2" t="s">
        <v>277</v>
      </c>
      <c r="B99" s="2" t="s">
        <v>278</v>
      </c>
      <c r="C99" s="2" t="s">
        <v>144</v>
      </c>
    </row>
    <row r="100" spans="1:3" x14ac:dyDescent="0.3">
      <c r="A100" s="2" t="s">
        <v>279</v>
      </c>
      <c r="B100" s="2" t="s">
        <v>24</v>
      </c>
      <c r="C100" s="2" t="s">
        <v>140</v>
      </c>
    </row>
    <row r="101" spans="1:3" x14ac:dyDescent="0.3">
      <c r="A101" s="2" t="s">
        <v>280</v>
      </c>
      <c r="B101" s="2" t="s">
        <v>94</v>
      </c>
      <c r="C101" s="2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4961-98D4-4ACF-9F6F-6D879D4432A2}">
  <sheetPr>
    <tabColor rgb="FFFFFF00"/>
  </sheetPr>
  <dimension ref="A1:AJ46"/>
  <sheetViews>
    <sheetView workbookViewId="0">
      <selection activeCell="J24" sqref="J24"/>
    </sheetView>
  </sheetViews>
  <sheetFormatPr defaultColWidth="9.109375" defaultRowHeight="14.4" x14ac:dyDescent="0.3"/>
  <cols>
    <col min="1" max="1" width="9" style="1" customWidth="1"/>
    <col min="2" max="2" width="40.109375" style="1" bestFit="1" customWidth="1"/>
    <col min="3" max="3" width="25.5546875" style="1" bestFit="1" customWidth="1"/>
    <col min="4" max="4" width="18.5546875" style="1" bestFit="1" customWidth="1"/>
    <col min="5" max="5" width="18.5546875" style="1" customWidth="1"/>
    <col min="6" max="6" width="8.6640625" style="1" bestFit="1" customWidth="1"/>
    <col min="7" max="7" width="8.44140625" style="1" bestFit="1" customWidth="1"/>
    <col min="8" max="8" width="6.109375" style="1" customWidth="1"/>
    <col min="9" max="9" width="9.109375" style="1"/>
    <col min="10" max="10" width="40.109375" style="1" bestFit="1" customWidth="1"/>
    <col min="11" max="11" width="16.33203125" style="1" bestFit="1" customWidth="1"/>
    <col min="12" max="15" width="10.5546875" style="1" bestFit="1" customWidth="1"/>
    <col min="16" max="16" width="9.5546875" style="1" bestFit="1" customWidth="1"/>
    <col min="17" max="17" width="9.88671875" style="1" bestFit="1" customWidth="1"/>
    <col min="18" max="18" width="11.33203125" style="1" bestFit="1" customWidth="1"/>
    <col min="19" max="19" width="9.5546875" style="1" bestFit="1" customWidth="1"/>
    <col min="20" max="20" width="9.6640625" style="1" bestFit="1" customWidth="1"/>
    <col min="21" max="22" width="10.5546875" style="1" bestFit="1" customWidth="1"/>
    <col min="23" max="26" width="9.5546875" style="1" bestFit="1" customWidth="1"/>
    <col min="27" max="28" width="10.5546875" style="1" bestFit="1" customWidth="1"/>
    <col min="29" max="34" width="9.5546875" style="1" bestFit="1" customWidth="1"/>
    <col min="35" max="36" width="11.33203125" style="1" bestFit="1" customWidth="1"/>
    <col min="37" max="16384" width="9.109375" style="1"/>
  </cols>
  <sheetData>
    <row r="1" spans="1:36" s="4" customFormat="1" x14ac:dyDescent="0.3">
      <c r="A1" s="3" t="s">
        <v>100</v>
      </c>
      <c r="B1" s="3" t="s">
        <v>101</v>
      </c>
      <c r="C1" s="3" t="s">
        <v>102</v>
      </c>
      <c r="D1" s="3" t="s">
        <v>103</v>
      </c>
      <c r="E1" s="3" t="s">
        <v>295</v>
      </c>
      <c r="F1" s="3" t="s">
        <v>104</v>
      </c>
      <c r="G1" s="3" t="s">
        <v>105</v>
      </c>
      <c r="H1" s="3" t="s">
        <v>106</v>
      </c>
      <c r="J1"/>
      <c r="K1"/>
    </row>
    <row r="2" spans="1:36" x14ac:dyDescent="0.3">
      <c r="A2" s="2" t="s">
        <v>107</v>
      </c>
      <c r="B2" s="2" t="s">
        <v>11</v>
      </c>
      <c r="C2" s="2" t="s">
        <v>108</v>
      </c>
      <c r="D2" s="16">
        <v>42009</v>
      </c>
      <c r="E2" s="19" t="str">
        <f>TEXT(D2,"yyyy")</f>
        <v>2015</v>
      </c>
      <c r="F2" s="2">
        <v>1</v>
      </c>
      <c r="G2" s="2">
        <v>10</v>
      </c>
      <c r="H2" s="2">
        <v>5000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x14ac:dyDescent="0.3">
      <c r="A3" s="2" t="s">
        <v>109</v>
      </c>
      <c r="B3" s="2" t="s">
        <v>5</v>
      </c>
      <c r="C3" s="2" t="s">
        <v>110</v>
      </c>
      <c r="D3" s="16">
        <v>42023</v>
      </c>
      <c r="E3" s="19" t="str">
        <f t="shared" ref="E3:E22" si="0">TEXT(D3,"yyyy")</f>
        <v>2015</v>
      </c>
      <c r="F3" s="2">
        <v>1</v>
      </c>
      <c r="G3" s="2">
        <v>5</v>
      </c>
      <c r="H3" s="2">
        <v>4000</v>
      </c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x14ac:dyDescent="0.3">
      <c r="A4" s="2" t="s">
        <v>111</v>
      </c>
      <c r="B4" s="2" t="s">
        <v>61</v>
      </c>
      <c r="C4" s="2" t="s">
        <v>112</v>
      </c>
      <c r="D4" s="16">
        <v>42034</v>
      </c>
      <c r="E4" s="19" t="str">
        <f t="shared" si="0"/>
        <v>2015</v>
      </c>
      <c r="F4" s="2">
        <v>1</v>
      </c>
      <c r="G4" s="2">
        <v>30</v>
      </c>
      <c r="H4" s="2">
        <v>2000</v>
      </c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x14ac:dyDescent="0.3">
      <c r="A5" s="2" t="s">
        <v>113</v>
      </c>
      <c r="B5" s="2" t="s">
        <v>65</v>
      </c>
      <c r="C5" s="2" t="s">
        <v>114</v>
      </c>
      <c r="D5" s="16">
        <v>42047</v>
      </c>
      <c r="E5" s="19" t="str">
        <f t="shared" si="0"/>
        <v>2015</v>
      </c>
      <c r="F5" s="2">
        <v>1</v>
      </c>
      <c r="G5" s="2">
        <v>25</v>
      </c>
      <c r="H5" s="2">
        <v>6000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 x14ac:dyDescent="0.3">
      <c r="A6" s="2" t="s">
        <v>115</v>
      </c>
      <c r="B6" s="2" t="s">
        <v>29</v>
      </c>
      <c r="C6" s="2" t="s">
        <v>116</v>
      </c>
      <c r="D6" s="16">
        <v>42074</v>
      </c>
      <c r="E6" s="19" t="str">
        <f t="shared" si="0"/>
        <v>2015</v>
      </c>
      <c r="F6" s="2">
        <v>1</v>
      </c>
      <c r="G6" s="2">
        <v>20</v>
      </c>
      <c r="H6" s="2">
        <v>7000</v>
      </c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36" x14ac:dyDescent="0.3">
      <c r="A7" s="2" t="s">
        <v>117</v>
      </c>
      <c r="B7" s="2" t="s">
        <v>56</v>
      </c>
      <c r="C7" s="2" t="s">
        <v>118</v>
      </c>
      <c r="D7" s="16">
        <v>42087</v>
      </c>
      <c r="E7" s="19" t="str">
        <f t="shared" si="0"/>
        <v>2015</v>
      </c>
      <c r="F7" s="2">
        <v>1</v>
      </c>
      <c r="G7" s="2">
        <v>5</v>
      </c>
      <c r="H7" s="2">
        <v>2000</v>
      </c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</row>
    <row r="8" spans="1:36" x14ac:dyDescent="0.3">
      <c r="A8" s="2" t="s">
        <v>119</v>
      </c>
      <c r="B8" s="2" t="s">
        <v>50</v>
      </c>
      <c r="C8" s="2" t="s">
        <v>120</v>
      </c>
      <c r="D8" s="16">
        <v>42111</v>
      </c>
      <c r="E8" s="19" t="str">
        <f t="shared" si="0"/>
        <v>2015</v>
      </c>
      <c r="F8" s="2">
        <v>1</v>
      </c>
      <c r="G8" s="2">
        <v>25</v>
      </c>
      <c r="H8" s="2">
        <v>2000</v>
      </c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1:36" x14ac:dyDescent="0.3">
      <c r="A9" s="2" t="s">
        <v>121</v>
      </c>
      <c r="B9" s="2" t="s">
        <v>59</v>
      </c>
      <c r="C9" s="2" t="s">
        <v>122</v>
      </c>
      <c r="D9" s="16">
        <v>42136</v>
      </c>
      <c r="E9" s="19" t="str">
        <f t="shared" si="0"/>
        <v>2015</v>
      </c>
      <c r="F9" s="2">
        <v>1</v>
      </c>
      <c r="G9" s="2">
        <v>15</v>
      </c>
      <c r="H9" s="2">
        <v>2000</v>
      </c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</row>
    <row r="10" spans="1:36" x14ac:dyDescent="0.3">
      <c r="A10" s="2" t="s">
        <v>123</v>
      </c>
      <c r="B10" s="2" t="s">
        <v>52</v>
      </c>
      <c r="C10" s="2" t="s">
        <v>124</v>
      </c>
      <c r="D10" s="16">
        <v>42156</v>
      </c>
      <c r="E10" s="19" t="str">
        <f t="shared" si="0"/>
        <v>2015</v>
      </c>
      <c r="F10" s="2">
        <v>1</v>
      </c>
      <c r="G10" s="2">
        <v>15</v>
      </c>
      <c r="H10" s="2">
        <v>3000</v>
      </c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 spans="1:36" x14ac:dyDescent="0.3">
      <c r="A11" s="2" t="s">
        <v>125</v>
      </c>
      <c r="B11" s="2" t="s">
        <v>16</v>
      </c>
      <c r="C11" s="2" t="s">
        <v>108</v>
      </c>
      <c r="D11" s="16">
        <v>42180</v>
      </c>
      <c r="E11" s="19" t="str">
        <f t="shared" si="0"/>
        <v>2015</v>
      </c>
      <c r="F11" s="2">
        <v>1</v>
      </c>
      <c r="G11" s="2">
        <v>5</v>
      </c>
      <c r="H11" s="2">
        <v>7000</v>
      </c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</row>
    <row r="12" spans="1:36" x14ac:dyDescent="0.3">
      <c r="A12" s="2" t="s">
        <v>126</v>
      </c>
      <c r="B12" s="2" t="s">
        <v>39</v>
      </c>
      <c r="C12" s="2" t="s">
        <v>110</v>
      </c>
      <c r="D12" s="16">
        <v>42194</v>
      </c>
      <c r="E12" s="19" t="str">
        <f t="shared" si="0"/>
        <v>2015</v>
      </c>
      <c r="F12" s="2">
        <v>0.5</v>
      </c>
      <c r="G12" s="2">
        <v>20</v>
      </c>
      <c r="H12" s="2">
        <v>2000</v>
      </c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</row>
    <row r="13" spans="1:36" x14ac:dyDescent="0.3">
      <c r="A13" s="2" t="s">
        <v>127</v>
      </c>
      <c r="B13" s="2" t="s">
        <v>46</v>
      </c>
      <c r="C13" s="2" t="s">
        <v>112</v>
      </c>
      <c r="D13" s="16">
        <v>42213</v>
      </c>
      <c r="E13" s="19" t="str">
        <f t="shared" si="0"/>
        <v>2015</v>
      </c>
      <c r="F13" s="2">
        <v>0.5</v>
      </c>
      <c r="G13" s="2">
        <v>30</v>
      </c>
      <c r="H13" s="2">
        <v>5000</v>
      </c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</row>
    <row r="14" spans="1:36" x14ac:dyDescent="0.3">
      <c r="A14" s="2" t="s">
        <v>128</v>
      </c>
      <c r="B14" s="2" t="s">
        <v>73</v>
      </c>
      <c r="C14" s="2" t="s">
        <v>114</v>
      </c>
      <c r="D14" s="16">
        <v>42226</v>
      </c>
      <c r="E14" s="19" t="str">
        <f t="shared" si="0"/>
        <v>2015</v>
      </c>
      <c r="F14" s="2">
        <v>1</v>
      </c>
      <c r="G14" s="2">
        <v>30</v>
      </c>
      <c r="H14" s="2">
        <v>7000</v>
      </c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</row>
    <row r="15" spans="1:36" x14ac:dyDescent="0.3">
      <c r="A15" s="2" t="s">
        <v>129</v>
      </c>
      <c r="B15" s="2" t="s">
        <v>31</v>
      </c>
      <c r="C15" s="2" t="s">
        <v>116</v>
      </c>
      <c r="D15" s="16">
        <v>42254</v>
      </c>
      <c r="E15" s="19" t="str">
        <f t="shared" si="0"/>
        <v>2015</v>
      </c>
      <c r="F15" s="2">
        <v>1</v>
      </c>
      <c r="G15" s="2">
        <v>20</v>
      </c>
      <c r="H15" s="2">
        <v>6000</v>
      </c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</row>
    <row r="16" spans="1:36" x14ac:dyDescent="0.3">
      <c r="A16" s="2" t="s">
        <v>130</v>
      </c>
      <c r="B16" s="2" t="s">
        <v>19</v>
      </c>
      <c r="C16" s="2" t="s">
        <v>118</v>
      </c>
      <c r="D16" s="16">
        <v>42268</v>
      </c>
      <c r="E16" s="19" t="str">
        <f t="shared" si="0"/>
        <v>2015</v>
      </c>
      <c r="F16" s="2">
        <v>1</v>
      </c>
      <c r="G16" s="2">
        <v>10</v>
      </c>
      <c r="H16" s="2">
        <v>7000</v>
      </c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</row>
    <row r="17" spans="1:36" x14ac:dyDescent="0.3">
      <c r="A17" s="2" t="s">
        <v>131</v>
      </c>
      <c r="B17" s="2" t="s">
        <v>54</v>
      </c>
      <c r="C17" s="2" t="s">
        <v>120</v>
      </c>
      <c r="D17" s="16">
        <v>42292</v>
      </c>
      <c r="E17" s="19" t="str">
        <f t="shared" si="0"/>
        <v>2015</v>
      </c>
      <c r="F17" s="2">
        <v>1</v>
      </c>
      <c r="G17" s="2">
        <v>5</v>
      </c>
      <c r="H17" s="2">
        <v>5000</v>
      </c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1:36" x14ac:dyDescent="0.3">
      <c r="A18" s="2" t="s">
        <v>132</v>
      </c>
      <c r="B18" s="2" t="s">
        <v>26</v>
      </c>
      <c r="C18" s="2" t="s">
        <v>122</v>
      </c>
      <c r="D18" s="16">
        <v>42317</v>
      </c>
      <c r="E18" s="19" t="str">
        <f t="shared" si="0"/>
        <v>2015</v>
      </c>
      <c r="F18" s="2">
        <v>1</v>
      </c>
      <c r="G18" s="2">
        <v>30</v>
      </c>
      <c r="H18" s="2">
        <v>5000</v>
      </c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</row>
    <row r="19" spans="1:36" x14ac:dyDescent="0.3">
      <c r="A19" s="2" t="s">
        <v>133</v>
      </c>
      <c r="B19" s="2" t="s">
        <v>14</v>
      </c>
      <c r="C19" s="2" t="s">
        <v>124</v>
      </c>
      <c r="D19" s="16">
        <v>42339</v>
      </c>
      <c r="E19" s="19" t="str">
        <f t="shared" si="0"/>
        <v>2015</v>
      </c>
      <c r="F19" s="2">
        <v>1.5</v>
      </c>
      <c r="G19" s="2">
        <v>15</v>
      </c>
      <c r="H19" s="2">
        <v>3000</v>
      </c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</row>
    <row r="20" spans="1:36" x14ac:dyDescent="0.3">
      <c r="A20" s="2" t="s">
        <v>134</v>
      </c>
      <c r="B20" s="2" t="s">
        <v>76</v>
      </c>
      <c r="C20" s="2" t="s">
        <v>108</v>
      </c>
      <c r="D20" s="16">
        <v>42352</v>
      </c>
      <c r="E20" s="19" t="str">
        <f t="shared" si="0"/>
        <v>2015</v>
      </c>
      <c r="F20" s="2">
        <v>1</v>
      </c>
      <c r="G20" s="2">
        <v>20</v>
      </c>
      <c r="H20" s="2">
        <v>3000</v>
      </c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</row>
    <row r="21" spans="1:36" x14ac:dyDescent="0.3">
      <c r="A21" s="2" t="s">
        <v>135</v>
      </c>
      <c r="B21" s="2" t="s">
        <v>23</v>
      </c>
      <c r="C21" s="2" t="s">
        <v>110</v>
      </c>
      <c r="D21" s="16">
        <v>42373</v>
      </c>
      <c r="E21" s="19" t="str">
        <f t="shared" si="0"/>
        <v>2016</v>
      </c>
      <c r="F21" s="2">
        <v>1</v>
      </c>
      <c r="G21" s="2">
        <v>30</v>
      </c>
      <c r="H21" s="2">
        <v>3000</v>
      </c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</row>
    <row r="22" spans="1:36" x14ac:dyDescent="0.3">
      <c r="A22" s="2" t="s">
        <v>136</v>
      </c>
      <c r="B22" s="2" t="s">
        <v>9</v>
      </c>
      <c r="C22" s="2" t="s">
        <v>112</v>
      </c>
      <c r="D22" s="16">
        <v>42384</v>
      </c>
      <c r="E22" s="19" t="str">
        <f t="shared" si="0"/>
        <v>2016</v>
      </c>
      <c r="F22" s="2">
        <v>1</v>
      </c>
      <c r="G22" s="2">
        <v>15</v>
      </c>
      <c r="H22" s="2">
        <v>6000</v>
      </c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</row>
    <row r="23" spans="1:36" x14ac:dyDescent="0.3">
      <c r="D23" s="8"/>
      <c r="E23" s="8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</row>
    <row r="24" spans="1:36" x14ac:dyDescent="0.3"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</row>
    <row r="25" spans="1:36" x14ac:dyDescent="0.3"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</row>
    <row r="26" spans="1:36" x14ac:dyDescent="0.3"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</row>
    <row r="27" spans="1:36" x14ac:dyDescent="0.3"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6" x14ac:dyDescent="0.3"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36" x14ac:dyDescent="0.3">
      <c r="J29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36" x14ac:dyDescent="0.3">
      <c r="J30"/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36" x14ac:dyDescent="0.3"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36" x14ac:dyDescent="0.3"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0:23" x14ac:dyDescent="0.3"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0:23" x14ac:dyDescent="0.3"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0:23" x14ac:dyDescent="0.3">
      <c r="J35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0:23" x14ac:dyDescent="0.3">
      <c r="J36"/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0:23" x14ac:dyDescent="0.3"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0:23" x14ac:dyDescent="0.3">
      <c r="J38"/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0:23" x14ac:dyDescent="0.3">
      <c r="J39"/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0:23" x14ac:dyDescent="0.3">
      <c r="J40"/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0:23" x14ac:dyDescent="0.3"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0:23" x14ac:dyDescent="0.3"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0:23" x14ac:dyDescent="0.3"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0:23" x14ac:dyDescent="0.3">
      <c r="J44"/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0:23" x14ac:dyDescent="0.3">
      <c r="J45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0:23" x14ac:dyDescent="0.3">
      <c r="J46"/>
      <c r="K46"/>
      <c r="L46"/>
      <c r="M46"/>
      <c r="N46"/>
      <c r="O46"/>
      <c r="P46"/>
      <c r="Q46"/>
      <c r="R46"/>
      <c r="S46"/>
      <c r="T46"/>
      <c r="U46"/>
      <c r="V46"/>
      <c r="W4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9874-4584-4005-B49C-BB27906FB457}">
  <sheetPr>
    <tabColor rgb="FFFFFF00"/>
  </sheetPr>
  <dimension ref="A1:N151"/>
  <sheetViews>
    <sheetView topLeftCell="B1" zoomScaleNormal="100" workbookViewId="0">
      <selection activeCell="G34" sqref="G34"/>
    </sheetView>
  </sheetViews>
  <sheetFormatPr defaultRowHeight="14.4" x14ac:dyDescent="0.3"/>
  <cols>
    <col min="1" max="1" width="20.109375" bestFit="1" customWidth="1"/>
    <col min="2" max="2" width="17.6640625" bestFit="1" customWidth="1"/>
    <col min="3" max="3" width="40.109375" bestFit="1" customWidth="1"/>
    <col min="4" max="4" width="11" bestFit="1" customWidth="1"/>
    <col min="5" max="5" width="22.5546875" customWidth="1"/>
    <col min="7" max="7" width="40.109375" bestFit="1" customWidth="1"/>
    <col min="8" max="8" width="21.109375" bestFit="1" customWidth="1"/>
    <col min="9" max="27" width="40.33203125" bestFit="1" customWidth="1"/>
    <col min="28" max="28" width="11.33203125" bestFit="1" customWidth="1"/>
  </cols>
  <sheetData>
    <row r="1" spans="1:14" s="7" customFormat="1" x14ac:dyDescent="0.3">
      <c r="A1" s="6" t="s">
        <v>96</v>
      </c>
      <c r="B1" s="6" t="s">
        <v>0</v>
      </c>
      <c r="C1" s="6" t="s">
        <v>1</v>
      </c>
      <c r="D1" s="6" t="s">
        <v>2</v>
      </c>
      <c r="E1" s="6" t="s">
        <v>3</v>
      </c>
      <c r="G1" s="6"/>
      <c r="H1" s="6"/>
      <c r="I1" s="6"/>
      <c r="J1" s="6"/>
      <c r="K1" s="6"/>
      <c r="L1" s="6"/>
      <c r="M1" s="6"/>
      <c r="N1" s="6"/>
    </row>
    <row r="2" spans="1:14" x14ac:dyDescent="0.3">
      <c r="A2" s="5" t="s">
        <v>97</v>
      </c>
      <c r="B2" s="5" t="s">
        <v>4</v>
      </c>
      <c r="C2" s="5" t="s">
        <v>5</v>
      </c>
      <c r="D2" s="5" t="s">
        <v>6</v>
      </c>
      <c r="E2" s="5" t="s">
        <v>7</v>
      </c>
      <c r="G2" s="11" t="s">
        <v>281</v>
      </c>
      <c r="H2" s="12" t="s">
        <v>317</v>
      </c>
    </row>
    <row r="3" spans="1:14" x14ac:dyDescent="0.3">
      <c r="A3" s="5" t="s">
        <v>97</v>
      </c>
      <c r="B3" s="5" t="s">
        <v>8</v>
      </c>
      <c r="C3" s="5" t="s">
        <v>9</v>
      </c>
      <c r="D3" s="5" t="s">
        <v>6</v>
      </c>
      <c r="E3" s="5" t="s">
        <v>284</v>
      </c>
      <c r="G3" s="12" t="s">
        <v>9</v>
      </c>
      <c r="H3" s="12">
        <v>11</v>
      </c>
    </row>
    <row r="4" spans="1:14" x14ac:dyDescent="0.3">
      <c r="A4" s="5" t="s">
        <v>97</v>
      </c>
      <c r="B4" s="5" t="s">
        <v>10</v>
      </c>
      <c r="C4" s="5" t="s">
        <v>11</v>
      </c>
      <c r="D4" s="5" t="s">
        <v>6</v>
      </c>
      <c r="E4" s="5" t="s">
        <v>12</v>
      </c>
      <c r="G4" s="12" t="s">
        <v>23</v>
      </c>
      <c r="H4" s="12">
        <v>9</v>
      </c>
    </row>
    <row r="5" spans="1:14" x14ac:dyDescent="0.3">
      <c r="A5" s="5" t="s">
        <v>97</v>
      </c>
      <c r="B5" s="5" t="s">
        <v>13</v>
      </c>
      <c r="C5" s="5" t="s">
        <v>14</v>
      </c>
      <c r="D5" s="5" t="s">
        <v>6</v>
      </c>
      <c r="E5" s="5" t="s">
        <v>284</v>
      </c>
      <c r="G5" s="12" t="s">
        <v>76</v>
      </c>
      <c r="H5" s="12">
        <v>1</v>
      </c>
    </row>
    <row r="6" spans="1:14" x14ac:dyDescent="0.3">
      <c r="A6" s="5" t="s">
        <v>97</v>
      </c>
      <c r="B6" s="5" t="s">
        <v>15</v>
      </c>
      <c r="C6" s="5" t="s">
        <v>16</v>
      </c>
      <c r="D6" s="5" t="s">
        <v>6</v>
      </c>
      <c r="E6" s="5" t="s">
        <v>17</v>
      </c>
      <c r="G6" s="12" t="s">
        <v>14</v>
      </c>
      <c r="H6" s="12">
        <v>6</v>
      </c>
    </row>
    <row r="7" spans="1:14" x14ac:dyDescent="0.3">
      <c r="A7" s="5" t="s">
        <v>97</v>
      </c>
      <c r="B7" s="5" t="s">
        <v>18</v>
      </c>
      <c r="C7" s="5" t="s">
        <v>19</v>
      </c>
      <c r="D7" s="5" t="s">
        <v>6</v>
      </c>
      <c r="E7" s="5" t="s">
        <v>17</v>
      </c>
      <c r="G7" s="12" t="s">
        <v>26</v>
      </c>
      <c r="H7" s="12">
        <v>6</v>
      </c>
    </row>
    <row r="8" spans="1:14" x14ac:dyDescent="0.3">
      <c r="A8" s="5" t="s">
        <v>97</v>
      </c>
      <c r="B8" s="5" t="s">
        <v>20</v>
      </c>
      <c r="C8" s="5" t="s">
        <v>5</v>
      </c>
      <c r="D8" s="5" t="s">
        <v>6</v>
      </c>
      <c r="E8" s="5" t="s">
        <v>21</v>
      </c>
      <c r="G8" s="12" t="s">
        <v>54</v>
      </c>
      <c r="H8" s="12">
        <v>8</v>
      </c>
    </row>
    <row r="9" spans="1:14" x14ac:dyDescent="0.3">
      <c r="A9" s="5" t="s">
        <v>97</v>
      </c>
      <c r="B9" s="5" t="s">
        <v>22</v>
      </c>
      <c r="C9" s="5" t="s">
        <v>23</v>
      </c>
      <c r="D9" s="5" t="s">
        <v>6</v>
      </c>
      <c r="E9" s="5" t="s">
        <v>284</v>
      </c>
      <c r="G9" s="12" t="s">
        <v>19</v>
      </c>
      <c r="H9" s="12">
        <v>7</v>
      </c>
    </row>
    <row r="10" spans="1:14" x14ac:dyDescent="0.3">
      <c r="A10" s="5" t="s">
        <v>97</v>
      </c>
      <c r="B10" s="5" t="s">
        <v>24</v>
      </c>
      <c r="C10" s="5" t="s">
        <v>9</v>
      </c>
      <c r="D10" s="5" t="s">
        <v>6</v>
      </c>
      <c r="E10" s="5" t="s">
        <v>284</v>
      </c>
      <c r="G10" s="12" t="s">
        <v>31</v>
      </c>
      <c r="H10" s="12">
        <v>5</v>
      </c>
    </row>
    <row r="11" spans="1:14" x14ac:dyDescent="0.3">
      <c r="A11" s="5" t="s">
        <v>97</v>
      </c>
      <c r="B11" s="5" t="s">
        <v>25</v>
      </c>
      <c r="C11" s="5" t="s">
        <v>26</v>
      </c>
      <c r="D11" s="5" t="s">
        <v>6</v>
      </c>
      <c r="E11" s="5" t="s">
        <v>284</v>
      </c>
      <c r="G11" s="12" t="s">
        <v>73</v>
      </c>
      <c r="H11" s="12">
        <v>5</v>
      </c>
    </row>
    <row r="12" spans="1:14" x14ac:dyDescent="0.3">
      <c r="A12" s="5" t="s">
        <v>99</v>
      </c>
      <c r="B12" s="5" t="s">
        <v>27</v>
      </c>
      <c r="C12" s="5" t="s">
        <v>9</v>
      </c>
      <c r="D12" s="5" t="s">
        <v>6</v>
      </c>
      <c r="E12" s="5" t="s">
        <v>284</v>
      </c>
      <c r="G12" s="12" t="s">
        <v>46</v>
      </c>
      <c r="H12" s="12">
        <v>9</v>
      </c>
    </row>
    <row r="13" spans="1:14" x14ac:dyDescent="0.3">
      <c r="A13" s="5" t="s">
        <v>97</v>
      </c>
      <c r="B13" s="5" t="s">
        <v>28</v>
      </c>
      <c r="C13" s="5" t="s">
        <v>29</v>
      </c>
      <c r="D13" s="5" t="s">
        <v>6</v>
      </c>
      <c r="E13" s="5" t="s">
        <v>12</v>
      </c>
      <c r="G13" s="12" t="s">
        <v>39</v>
      </c>
      <c r="H13" s="12">
        <v>9</v>
      </c>
    </row>
    <row r="14" spans="1:14" x14ac:dyDescent="0.3">
      <c r="A14" s="5" t="s">
        <v>97</v>
      </c>
      <c r="B14" s="5" t="s">
        <v>30</v>
      </c>
      <c r="C14" s="5" t="s">
        <v>31</v>
      </c>
      <c r="D14" s="5" t="s">
        <v>6</v>
      </c>
      <c r="E14" s="5" t="s">
        <v>32</v>
      </c>
      <c r="G14" s="12" t="s">
        <v>16</v>
      </c>
      <c r="H14" s="12">
        <v>5</v>
      </c>
    </row>
    <row r="15" spans="1:14" x14ac:dyDescent="0.3">
      <c r="A15" s="5" t="s">
        <v>97</v>
      </c>
      <c r="B15" s="5" t="s">
        <v>33</v>
      </c>
      <c r="C15" s="5" t="s">
        <v>14</v>
      </c>
      <c r="D15" s="5" t="s">
        <v>6</v>
      </c>
      <c r="E15" s="5" t="s">
        <v>284</v>
      </c>
      <c r="G15" s="12" t="s">
        <v>52</v>
      </c>
      <c r="H15" s="12">
        <v>9</v>
      </c>
    </row>
    <row r="16" spans="1:14" x14ac:dyDescent="0.3">
      <c r="A16" s="5" t="s">
        <v>97</v>
      </c>
      <c r="B16" s="5" t="s">
        <v>34</v>
      </c>
      <c r="C16" s="5" t="s">
        <v>23</v>
      </c>
      <c r="D16" s="5" t="s">
        <v>6</v>
      </c>
      <c r="E16" s="5" t="s">
        <v>284</v>
      </c>
      <c r="G16" s="12" t="s">
        <v>59</v>
      </c>
      <c r="H16" s="12">
        <v>10</v>
      </c>
    </row>
    <row r="17" spans="1:8" x14ac:dyDescent="0.3">
      <c r="A17" s="5" t="s">
        <v>97</v>
      </c>
      <c r="B17" s="5" t="s">
        <v>35</v>
      </c>
      <c r="C17" s="5" t="s">
        <v>31</v>
      </c>
      <c r="D17" s="5" t="s">
        <v>6</v>
      </c>
      <c r="E17" s="5" t="s">
        <v>12</v>
      </c>
      <c r="G17" s="12" t="s">
        <v>50</v>
      </c>
      <c r="H17" s="12">
        <v>2</v>
      </c>
    </row>
    <row r="18" spans="1:8" x14ac:dyDescent="0.3">
      <c r="A18" s="5" t="s">
        <v>97</v>
      </c>
      <c r="B18" s="5" t="s">
        <v>36</v>
      </c>
      <c r="C18" s="5" t="s">
        <v>16</v>
      </c>
      <c r="D18" s="5" t="s">
        <v>6</v>
      </c>
      <c r="E18" s="5" t="s">
        <v>21</v>
      </c>
      <c r="G18" s="12" t="s">
        <v>56</v>
      </c>
      <c r="H18" s="12">
        <v>4</v>
      </c>
    </row>
    <row r="19" spans="1:8" x14ac:dyDescent="0.3">
      <c r="A19" s="5" t="s">
        <v>97</v>
      </c>
      <c r="B19" s="5" t="s">
        <v>37</v>
      </c>
      <c r="C19" s="5" t="s">
        <v>29</v>
      </c>
      <c r="D19" s="5" t="s">
        <v>6</v>
      </c>
      <c r="E19" s="5" t="s">
        <v>32</v>
      </c>
      <c r="G19" s="12" t="s">
        <v>29</v>
      </c>
      <c r="H19" s="12">
        <v>7</v>
      </c>
    </row>
    <row r="20" spans="1:8" x14ac:dyDescent="0.3">
      <c r="A20" s="5" t="s">
        <v>97</v>
      </c>
      <c r="B20" s="5" t="s">
        <v>38</v>
      </c>
      <c r="C20" s="5" t="s">
        <v>39</v>
      </c>
      <c r="D20" s="5" t="s">
        <v>6</v>
      </c>
      <c r="E20" s="5" t="s">
        <v>7</v>
      </c>
      <c r="G20" s="12" t="s">
        <v>65</v>
      </c>
      <c r="H20" s="12">
        <v>6</v>
      </c>
    </row>
    <row r="21" spans="1:8" x14ac:dyDescent="0.3">
      <c r="A21" s="5" t="s">
        <v>97</v>
      </c>
      <c r="B21" s="5" t="s">
        <v>40</v>
      </c>
      <c r="C21" s="5" t="s">
        <v>16</v>
      </c>
      <c r="D21" s="5" t="s">
        <v>6</v>
      </c>
      <c r="E21" s="5" t="s">
        <v>17</v>
      </c>
      <c r="G21" s="12" t="s">
        <v>61</v>
      </c>
      <c r="H21" s="12">
        <v>4</v>
      </c>
    </row>
    <row r="22" spans="1:8" x14ac:dyDescent="0.3">
      <c r="A22" s="5" t="s">
        <v>97</v>
      </c>
      <c r="B22" s="5" t="s">
        <v>41</v>
      </c>
      <c r="C22" s="5" t="s">
        <v>11</v>
      </c>
      <c r="D22" s="5" t="s">
        <v>6</v>
      </c>
      <c r="E22" s="5" t="s">
        <v>32</v>
      </c>
      <c r="G22" s="12" t="s">
        <v>5</v>
      </c>
      <c r="H22" s="12">
        <v>14</v>
      </c>
    </row>
    <row r="23" spans="1:8" x14ac:dyDescent="0.3">
      <c r="A23" s="5" t="s">
        <v>97</v>
      </c>
      <c r="B23" s="5" t="s">
        <v>42</v>
      </c>
      <c r="C23" s="5" t="s">
        <v>9</v>
      </c>
      <c r="D23" s="5" t="s">
        <v>6</v>
      </c>
      <c r="E23" s="5" t="s">
        <v>284</v>
      </c>
      <c r="G23" s="12" t="s">
        <v>11</v>
      </c>
      <c r="H23" s="12">
        <v>9</v>
      </c>
    </row>
    <row r="24" spans="1:8" x14ac:dyDescent="0.3">
      <c r="A24" s="5" t="s">
        <v>97</v>
      </c>
      <c r="B24" s="5" t="s">
        <v>43</v>
      </c>
      <c r="C24" s="5" t="s">
        <v>23</v>
      </c>
      <c r="D24" s="5" t="s">
        <v>6</v>
      </c>
      <c r="E24" s="5" t="s">
        <v>284</v>
      </c>
      <c r="G24" s="12" t="s">
        <v>282</v>
      </c>
      <c r="H24" s="12">
        <v>146</v>
      </c>
    </row>
    <row r="25" spans="1:8" x14ac:dyDescent="0.3">
      <c r="A25" s="5" t="s">
        <v>97</v>
      </c>
      <c r="B25" s="5" t="s">
        <v>44</v>
      </c>
      <c r="C25" s="5" t="s">
        <v>9</v>
      </c>
      <c r="D25" s="5" t="s">
        <v>6</v>
      </c>
      <c r="E25" s="5" t="s">
        <v>284</v>
      </c>
    </row>
    <row r="26" spans="1:8" x14ac:dyDescent="0.3">
      <c r="A26" s="5" t="s">
        <v>97</v>
      </c>
      <c r="B26" s="5" t="s">
        <v>45</v>
      </c>
      <c r="C26" s="5" t="s">
        <v>46</v>
      </c>
      <c r="D26" s="5" t="s">
        <v>6</v>
      </c>
      <c r="E26" s="5" t="s">
        <v>7</v>
      </c>
    </row>
    <row r="27" spans="1:8" x14ac:dyDescent="0.3">
      <c r="A27" s="5" t="s">
        <v>97</v>
      </c>
      <c r="B27" s="5" t="s">
        <v>47</v>
      </c>
      <c r="C27" s="5" t="s">
        <v>46</v>
      </c>
      <c r="D27" s="5" t="s">
        <v>6</v>
      </c>
      <c r="E27" s="5" t="s">
        <v>32</v>
      </c>
    </row>
    <row r="28" spans="1:8" x14ac:dyDescent="0.3">
      <c r="A28" s="5" t="s">
        <v>97</v>
      </c>
      <c r="B28" s="5" t="s">
        <v>48</v>
      </c>
      <c r="C28" s="5" t="s">
        <v>11</v>
      </c>
      <c r="D28" s="5" t="s">
        <v>6</v>
      </c>
      <c r="E28" s="5" t="s">
        <v>12</v>
      </c>
      <c r="G28" t="s">
        <v>286</v>
      </c>
    </row>
    <row r="29" spans="1:8" x14ac:dyDescent="0.3">
      <c r="A29" s="5" t="s">
        <v>97</v>
      </c>
      <c r="B29" s="5" t="s">
        <v>49</v>
      </c>
      <c r="C29" s="5" t="s">
        <v>50</v>
      </c>
      <c r="D29" s="5" t="s">
        <v>6</v>
      </c>
      <c r="E29" s="5" t="s">
        <v>21</v>
      </c>
      <c r="G29" s="17" t="s">
        <v>316</v>
      </c>
    </row>
    <row r="30" spans="1:8" x14ac:dyDescent="0.3">
      <c r="A30" s="5" t="s">
        <v>97</v>
      </c>
      <c r="B30" s="5" t="s">
        <v>51</v>
      </c>
      <c r="C30" s="5" t="s">
        <v>52</v>
      </c>
      <c r="D30" s="5" t="s">
        <v>6</v>
      </c>
      <c r="E30" s="5" t="s">
        <v>12</v>
      </c>
      <c r="G30" s="17" t="s">
        <v>287</v>
      </c>
    </row>
    <row r="31" spans="1:8" x14ac:dyDescent="0.3">
      <c r="A31" s="5" t="s">
        <v>97</v>
      </c>
      <c r="B31" s="5" t="s">
        <v>53</v>
      </c>
      <c r="C31" s="5" t="s">
        <v>54</v>
      </c>
      <c r="D31" s="5" t="s">
        <v>6</v>
      </c>
      <c r="E31" s="5" t="s">
        <v>17</v>
      </c>
      <c r="G31" s="40" t="s">
        <v>318</v>
      </c>
    </row>
    <row r="32" spans="1:8" x14ac:dyDescent="0.3">
      <c r="A32" s="5" t="s">
        <v>97</v>
      </c>
      <c r="B32" s="5" t="s">
        <v>55</v>
      </c>
      <c r="C32" s="5" t="s">
        <v>56</v>
      </c>
      <c r="D32" s="5" t="s">
        <v>6</v>
      </c>
      <c r="E32" s="5" t="s">
        <v>32</v>
      </c>
      <c r="G32" s="73" t="s">
        <v>342</v>
      </c>
    </row>
    <row r="33" spans="1:5" x14ac:dyDescent="0.3">
      <c r="A33" s="5" t="s">
        <v>97</v>
      </c>
      <c r="B33" s="5" t="s">
        <v>57</v>
      </c>
      <c r="C33" s="5" t="s">
        <v>14</v>
      </c>
      <c r="D33" s="5" t="s">
        <v>6</v>
      </c>
      <c r="E33" s="5" t="s">
        <v>284</v>
      </c>
    </row>
    <row r="34" spans="1:5" x14ac:dyDescent="0.3">
      <c r="A34" s="5" t="s">
        <v>97</v>
      </c>
      <c r="B34" s="5" t="s">
        <v>58</v>
      </c>
      <c r="C34" s="5" t="s">
        <v>59</v>
      </c>
      <c r="D34" s="5" t="s">
        <v>6</v>
      </c>
      <c r="E34" s="5" t="s">
        <v>12</v>
      </c>
    </row>
    <row r="35" spans="1:5" x14ac:dyDescent="0.3">
      <c r="A35" s="5" t="s">
        <v>97</v>
      </c>
      <c r="B35" s="5" t="s">
        <v>60</v>
      </c>
      <c r="C35" s="5" t="s">
        <v>61</v>
      </c>
      <c r="D35" s="5" t="s">
        <v>6</v>
      </c>
      <c r="E35" s="5" t="s">
        <v>17</v>
      </c>
    </row>
    <row r="36" spans="1:5" x14ac:dyDescent="0.3">
      <c r="A36" s="5" t="s">
        <v>97</v>
      </c>
      <c r="B36" s="5" t="s">
        <v>62</v>
      </c>
      <c r="C36" s="5" t="s">
        <v>39</v>
      </c>
      <c r="D36" s="5" t="s">
        <v>6</v>
      </c>
      <c r="E36" s="5" t="s">
        <v>12</v>
      </c>
    </row>
    <row r="37" spans="1:5" x14ac:dyDescent="0.3">
      <c r="A37" s="5" t="s">
        <v>97</v>
      </c>
      <c r="B37" s="5" t="s">
        <v>63</v>
      </c>
      <c r="C37" s="5" t="s">
        <v>59</v>
      </c>
      <c r="D37" s="5" t="s">
        <v>6</v>
      </c>
      <c r="E37" s="5" t="s">
        <v>21</v>
      </c>
    </row>
    <row r="38" spans="1:5" x14ac:dyDescent="0.3">
      <c r="A38" s="5" t="s">
        <v>97</v>
      </c>
      <c r="B38" s="5" t="s">
        <v>64</v>
      </c>
      <c r="C38" s="5" t="s">
        <v>39</v>
      </c>
      <c r="D38" s="5" t="s">
        <v>6</v>
      </c>
      <c r="E38" s="5" t="s">
        <v>7</v>
      </c>
    </row>
    <row r="39" spans="1:5" x14ac:dyDescent="0.3">
      <c r="A39" s="5" t="s">
        <v>97</v>
      </c>
      <c r="B39" s="5" t="s">
        <v>27</v>
      </c>
      <c r="C39" s="5" t="s">
        <v>23</v>
      </c>
      <c r="D39" s="5" t="s">
        <v>6</v>
      </c>
      <c r="E39" s="5" t="s">
        <v>284</v>
      </c>
    </row>
    <row r="40" spans="1:5" x14ac:dyDescent="0.3">
      <c r="A40" s="5" t="s">
        <v>97</v>
      </c>
      <c r="B40" s="5" t="s">
        <v>43</v>
      </c>
      <c r="C40" s="5" t="s">
        <v>65</v>
      </c>
      <c r="D40" s="5" t="s">
        <v>6</v>
      </c>
      <c r="E40" s="5" t="s">
        <v>12</v>
      </c>
    </row>
    <row r="41" spans="1:5" x14ac:dyDescent="0.3">
      <c r="A41" s="5" t="s">
        <v>97</v>
      </c>
      <c r="B41" s="5" t="s">
        <v>66</v>
      </c>
      <c r="C41" s="5" t="s">
        <v>14</v>
      </c>
      <c r="D41" s="5" t="s">
        <v>6</v>
      </c>
      <c r="E41" s="5" t="s">
        <v>284</v>
      </c>
    </row>
    <row r="42" spans="1:5" x14ac:dyDescent="0.3">
      <c r="A42" s="5" t="s">
        <v>97</v>
      </c>
      <c r="B42" s="5" t="s">
        <v>51</v>
      </c>
      <c r="C42" s="5" t="s">
        <v>52</v>
      </c>
      <c r="D42" s="5" t="s">
        <v>6</v>
      </c>
      <c r="E42" s="5" t="s">
        <v>32</v>
      </c>
    </row>
    <row r="43" spans="1:5" x14ac:dyDescent="0.3">
      <c r="A43" s="5" t="s">
        <v>99</v>
      </c>
      <c r="B43" s="5" t="s">
        <v>67</v>
      </c>
      <c r="C43" s="5" t="s">
        <v>14</v>
      </c>
      <c r="D43" s="5" t="s">
        <v>6</v>
      </c>
      <c r="E43" s="5" t="s">
        <v>284</v>
      </c>
    </row>
    <row r="44" spans="1:5" x14ac:dyDescent="0.3">
      <c r="A44" s="5" t="s">
        <v>97</v>
      </c>
      <c r="B44" s="5" t="s">
        <v>68</v>
      </c>
      <c r="C44" s="5" t="s">
        <v>5</v>
      </c>
      <c r="D44" s="5" t="s">
        <v>6</v>
      </c>
      <c r="E44" s="5" t="s">
        <v>21</v>
      </c>
    </row>
    <row r="45" spans="1:5" x14ac:dyDescent="0.3">
      <c r="A45" s="5" t="s">
        <v>97</v>
      </c>
      <c r="B45" s="5" t="s">
        <v>30</v>
      </c>
      <c r="C45" s="5" t="s">
        <v>56</v>
      </c>
      <c r="D45" s="5" t="s">
        <v>6</v>
      </c>
      <c r="E45" s="5" t="s">
        <v>21</v>
      </c>
    </row>
    <row r="46" spans="1:5" x14ac:dyDescent="0.3">
      <c r="A46" s="5" t="s">
        <v>97</v>
      </c>
      <c r="B46" s="5" t="s">
        <v>69</v>
      </c>
      <c r="C46" s="5" t="s">
        <v>11</v>
      </c>
      <c r="D46" s="5" t="s">
        <v>6</v>
      </c>
      <c r="E46" s="5" t="s">
        <v>21</v>
      </c>
    </row>
    <row r="47" spans="1:5" x14ac:dyDescent="0.3">
      <c r="A47" s="5" t="s">
        <v>97</v>
      </c>
      <c r="B47" s="5" t="s">
        <v>70</v>
      </c>
      <c r="C47" s="5" t="s">
        <v>39</v>
      </c>
      <c r="D47" s="5" t="s">
        <v>6</v>
      </c>
      <c r="E47" s="5" t="s">
        <v>17</v>
      </c>
    </row>
    <row r="48" spans="1:5" x14ac:dyDescent="0.3">
      <c r="A48" s="5" t="s">
        <v>97</v>
      </c>
      <c r="B48" s="5" t="s">
        <v>71</v>
      </c>
      <c r="C48" s="5" t="s">
        <v>59</v>
      </c>
      <c r="D48" s="5" t="s">
        <v>6</v>
      </c>
      <c r="E48" s="5" t="s">
        <v>32</v>
      </c>
    </row>
    <row r="49" spans="1:5" x14ac:dyDescent="0.3">
      <c r="A49" s="5" t="s">
        <v>97</v>
      </c>
      <c r="B49" s="5" t="s">
        <v>37</v>
      </c>
      <c r="C49" s="5" t="s">
        <v>5</v>
      </c>
      <c r="D49" s="5" t="s">
        <v>6</v>
      </c>
      <c r="E49" s="5" t="s">
        <v>21</v>
      </c>
    </row>
    <row r="50" spans="1:5" x14ac:dyDescent="0.3">
      <c r="A50" s="5" t="s">
        <v>97</v>
      </c>
      <c r="B50" s="5" t="s">
        <v>72</v>
      </c>
      <c r="C50" s="5" t="s">
        <v>73</v>
      </c>
      <c r="D50" s="5" t="s">
        <v>6</v>
      </c>
      <c r="E50" s="5" t="s">
        <v>21</v>
      </c>
    </row>
    <row r="51" spans="1:5" x14ac:dyDescent="0.3">
      <c r="A51" s="5" t="s">
        <v>97</v>
      </c>
      <c r="B51" s="5" t="s">
        <v>74</v>
      </c>
      <c r="C51" s="5" t="s">
        <v>5</v>
      </c>
      <c r="D51" s="5" t="s">
        <v>6</v>
      </c>
      <c r="E51" s="5" t="s">
        <v>17</v>
      </c>
    </row>
    <row r="52" spans="1:5" x14ac:dyDescent="0.3">
      <c r="A52" s="36" t="s">
        <v>98</v>
      </c>
      <c r="B52" s="2" t="s">
        <v>75</v>
      </c>
      <c r="C52" s="2" t="s">
        <v>76</v>
      </c>
      <c r="D52" s="2" t="s">
        <v>6</v>
      </c>
      <c r="E52" s="2" t="s">
        <v>284</v>
      </c>
    </row>
    <row r="53" spans="1:5" x14ac:dyDescent="0.3">
      <c r="A53" s="5" t="s">
        <v>97</v>
      </c>
      <c r="B53" s="2" t="s">
        <v>66</v>
      </c>
      <c r="C53" s="2" t="s">
        <v>39</v>
      </c>
      <c r="D53" s="2" t="s">
        <v>6</v>
      </c>
      <c r="E53" s="2" t="s">
        <v>17</v>
      </c>
    </row>
    <row r="54" spans="1:5" x14ac:dyDescent="0.3">
      <c r="A54" s="5" t="s">
        <v>97</v>
      </c>
      <c r="B54" s="2" t="s">
        <v>77</v>
      </c>
      <c r="C54" s="2" t="s">
        <v>59</v>
      </c>
      <c r="D54" s="2" t="s">
        <v>6</v>
      </c>
      <c r="E54" s="2" t="s">
        <v>7</v>
      </c>
    </row>
    <row r="55" spans="1:5" x14ac:dyDescent="0.3">
      <c r="A55" s="5" t="s">
        <v>97</v>
      </c>
      <c r="B55" s="2" t="s">
        <v>20</v>
      </c>
      <c r="C55" s="2" t="s">
        <v>29</v>
      </c>
      <c r="D55" s="2" t="s">
        <v>6</v>
      </c>
      <c r="E55" s="2" t="s">
        <v>12</v>
      </c>
    </row>
    <row r="56" spans="1:5" x14ac:dyDescent="0.3">
      <c r="A56" s="5" t="s">
        <v>97</v>
      </c>
      <c r="B56" s="2" t="s">
        <v>68</v>
      </c>
      <c r="C56" s="2" t="s">
        <v>29</v>
      </c>
      <c r="D56" s="2" t="s">
        <v>6</v>
      </c>
      <c r="E56" s="2" t="s">
        <v>7</v>
      </c>
    </row>
    <row r="57" spans="1:5" x14ac:dyDescent="0.3">
      <c r="A57" s="5" t="s">
        <v>97</v>
      </c>
      <c r="B57" s="2" t="s">
        <v>13</v>
      </c>
      <c r="C57" s="2" t="s">
        <v>5</v>
      </c>
      <c r="D57" s="2" t="s">
        <v>6</v>
      </c>
      <c r="E57" s="2" t="s">
        <v>12</v>
      </c>
    </row>
    <row r="58" spans="1:5" x14ac:dyDescent="0.3">
      <c r="A58" s="36" t="s">
        <v>98</v>
      </c>
      <c r="B58" s="2" t="s">
        <v>20</v>
      </c>
      <c r="C58" s="2" t="s">
        <v>39</v>
      </c>
      <c r="D58" s="2" t="s">
        <v>6</v>
      </c>
      <c r="E58" s="2" t="s">
        <v>7</v>
      </c>
    </row>
    <row r="59" spans="1:5" x14ac:dyDescent="0.3">
      <c r="A59" s="5" t="s">
        <v>97</v>
      </c>
      <c r="B59" s="2" t="s">
        <v>78</v>
      </c>
      <c r="C59" s="2" t="s">
        <v>61</v>
      </c>
      <c r="D59" s="2" t="s">
        <v>6</v>
      </c>
      <c r="E59" s="2" t="s">
        <v>17</v>
      </c>
    </row>
    <row r="60" spans="1:5" x14ac:dyDescent="0.3">
      <c r="A60" s="5" t="s">
        <v>97</v>
      </c>
      <c r="B60" s="2" t="s">
        <v>64</v>
      </c>
      <c r="C60" s="2" t="s">
        <v>73</v>
      </c>
      <c r="D60" s="2" t="s">
        <v>6</v>
      </c>
      <c r="E60" s="2" t="s">
        <v>32</v>
      </c>
    </row>
    <row r="61" spans="1:5" x14ac:dyDescent="0.3">
      <c r="A61" s="5" t="s">
        <v>97</v>
      </c>
      <c r="B61" s="2" t="s">
        <v>34</v>
      </c>
      <c r="C61" s="2" t="s">
        <v>65</v>
      </c>
      <c r="D61" s="2" t="s">
        <v>6</v>
      </c>
      <c r="E61" s="2" t="s">
        <v>7</v>
      </c>
    </row>
    <row r="62" spans="1:5" x14ac:dyDescent="0.3">
      <c r="A62" s="5" t="s">
        <v>97</v>
      </c>
      <c r="B62" s="2" t="s">
        <v>43</v>
      </c>
      <c r="C62" s="2" t="s">
        <v>52</v>
      </c>
      <c r="D62" s="2" t="s">
        <v>6</v>
      </c>
      <c r="E62" s="2" t="s">
        <v>21</v>
      </c>
    </row>
    <row r="63" spans="1:5" x14ac:dyDescent="0.3">
      <c r="A63" s="5" t="s">
        <v>97</v>
      </c>
      <c r="B63" s="2" t="s">
        <v>18</v>
      </c>
      <c r="C63" s="2" t="s">
        <v>54</v>
      </c>
      <c r="D63" s="2" t="s">
        <v>6</v>
      </c>
      <c r="E63" s="2" t="s">
        <v>32</v>
      </c>
    </row>
    <row r="64" spans="1:5" x14ac:dyDescent="0.3">
      <c r="A64" s="5" t="s">
        <v>97</v>
      </c>
      <c r="B64" s="2" t="s">
        <v>37</v>
      </c>
      <c r="C64" s="2" t="s">
        <v>61</v>
      </c>
      <c r="D64" s="2" t="s">
        <v>6</v>
      </c>
      <c r="E64" s="2" t="s">
        <v>12</v>
      </c>
    </row>
    <row r="65" spans="1:5" x14ac:dyDescent="0.3">
      <c r="A65" s="5" t="s">
        <v>97</v>
      </c>
      <c r="B65" s="2" t="s">
        <v>48</v>
      </c>
      <c r="C65" s="2" t="s">
        <v>5</v>
      </c>
      <c r="D65" s="2" t="s">
        <v>6</v>
      </c>
      <c r="E65" s="2" t="s">
        <v>17</v>
      </c>
    </row>
    <row r="66" spans="1:5" x14ac:dyDescent="0.3">
      <c r="A66" s="36" t="s">
        <v>98</v>
      </c>
      <c r="B66" s="2" t="s">
        <v>45</v>
      </c>
      <c r="C66" s="2" t="s">
        <v>59</v>
      </c>
      <c r="D66" s="2" t="s">
        <v>6</v>
      </c>
      <c r="E66" s="2" t="s">
        <v>21</v>
      </c>
    </row>
    <row r="67" spans="1:5" x14ac:dyDescent="0.3">
      <c r="A67" s="5" t="s">
        <v>97</v>
      </c>
      <c r="B67" s="2" t="s">
        <v>34</v>
      </c>
      <c r="C67" s="2" t="s">
        <v>5</v>
      </c>
      <c r="D67" s="2" t="s">
        <v>6</v>
      </c>
      <c r="E67" s="2" t="s">
        <v>7</v>
      </c>
    </row>
    <row r="68" spans="1:5" x14ac:dyDescent="0.3">
      <c r="A68" s="5" t="s">
        <v>98</v>
      </c>
      <c r="B68" s="2" t="s">
        <v>20</v>
      </c>
      <c r="C68" s="2" t="s">
        <v>5</v>
      </c>
      <c r="D68" s="2" t="s">
        <v>6</v>
      </c>
      <c r="E68" s="2" t="s">
        <v>12</v>
      </c>
    </row>
    <row r="69" spans="1:5" x14ac:dyDescent="0.3">
      <c r="A69" s="5" t="s">
        <v>99</v>
      </c>
      <c r="B69" s="2" t="s">
        <v>79</v>
      </c>
      <c r="C69" s="2" t="s">
        <v>5</v>
      </c>
      <c r="D69" s="2" t="s">
        <v>6</v>
      </c>
      <c r="E69" s="2" t="s">
        <v>12</v>
      </c>
    </row>
    <row r="70" spans="1:5" x14ac:dyDescent="0.3">
      <c r="A70" s="5" t="s">
        <v>98</v>
      </c>
      <c r="B70" s="2" t="s">
        <v>41</v>
      </c>
      <c r="C70" s="2" t="s">
        <v>23</v>
      </c>
      <c r="D70" s="2" t="s">
        <v>6</v>
      </c>
      <c r="E70" s="2" t="s">
        <v>284</v>
      </c>
    </row>
    <row r="71" spans="1:5" x14ac:dyDescent="0.3">
      <c r="A71" s="5" t="s">
        <v>97</v>
      </c>
      <c r="B71" s="2" t="s">
        <v>15</v>
      </c>
      <c r="C71" s="2" t="s">
        <v>31</v>
      </c>
      <c r="D71" s="2" t="s">
        <v>6</v>
      </c>
      <c r="E71" s="2" t="s">
        <v>12</v>
      </c>
    </row>
    <row r="72" spans="1:5" x14ac:dyDescent="0.3">
      <c r="A72" s="5" t="s">
        <v>97</v>
      </c>
      <c r="B72" s="2" t="s">
        <v>47</v>
      </c>
      <c r="C72" s="2" t="s">
        <v>23</v>
      </c>
      <c r="D72" s="2" t="s">
        <v>6</v>
      </c>
      <c r="E72" s="2" t="s">
        <v>284</v>
      </c>
    </row>
    <row r="73" spans="1:5" x14ac:dyDescent="0.3">
      <c r="A73" s="5" t="s">
        <v>97</v>
      </c>
      <c r="B73" s="2" t="s">
        <v>80</v>
      </c>
      <c r="C73" s="2" t="s">
        <v>54</v>
      </c>
      <c r="D73" s="2" t="s">
        <v>6</v>
      </c>
      <c r="E73" s="2" t="s">
        <v>7</v>
      </c>
    </row>
    <row r="74" spans="1:5" x14ac:dyDescent="0.3">
      <c r="A74" s="5" t="s">
        <v>97</v>
      </c>
      <c r="B74" s="2" t="s">
        <v>81</v>
      </c>
      <c r="C74" s="2" t="s">
        <v>50</v>
      </c>
      <c r="D74" s="2" t="s">
        <v>6</v>
      </c>
      <c r="E74" s="2" t="s">
        <v>17</v>
      </c>
    </row>
    <row r="75" spans="1:5" x14ac:dyDescent="0.3">
      <c r="A75" s="5" t="s">
        <v>97</v>
      </c>
      <c r="B75" s="2" t="s">
        <v>82</v>
      </c>
      <c r="C75" s="2" t="s">
        <v>19</v>
      </c>
      <c r="D75" s="2" t="s">
        <v>6</v>
      </c>
      <c r="E75" s="2" t="s">
        <v>17</v>
      </c>
    </row>
    <row r="76" spans="1:5" x14ac:dyDescent="0.3">
      <c r="A76" s="5" t="s">
        <v>97</v>
      </c>
      <c r="B76" s="2" t="s">
        <v>27</v>
      </c>
      <c r="C76" s="2" t="s">
        <v>61</v>
      </c>
      <c r="D76" s="2" t="s">
        <v>6</v>
      </c>
      <c r="E76" s="2" t="s">
        <v>21</v>
      </c>
    </row>
    <row r="77" spans="1:5" x14ac:dyDescent="0.3">
      <c r="A77" s="5" t="s">
        <v>97</v>
      </c>
      <c r="B77" s="5" t="s">
        <v>51</v>
      </c>
      <c r="C77" s="5" t="s">
        <v>65</v>
      </c>
      <c r="D77" s="5" t="s">
        <v>6</v>
      </c>
      <c r="E77" s="5" t="s">
        <v>32</v>
      </c>
    </row>
    <row r="78" spans="1:5" x14ac:dyDescent="0.3">
      <c r="A78" s="5" t="s">
        <v>97</v>
      </c>
      <c r="B78" s="5" t="s">
        <v>83</v>
      </c>
      <c r="C78" s="5" t="s">
        <v>52</v>
      </c>
      <c r="D78" s="5" t="s">
        <v>6</v>
      </c>
      <c r="E78" s="5" t="s">
        <v>7</v>
      </c>
    </row>
    <row r="79" spans="1:5" x14ac:dyDescent="0.3">
      <c r="A79" s="5" t="s">
        <v>97</v>
      </c>
      <c r="B79" s="5" t="s">
        <v>47</v>
      </c>
      <c r="C79" s="5" t="s">
        <v>52</v>
      </c>
      <c r="D79" s="5" t="s">
        <v>6</v>
      </c>
      <c r="E79" s="5" t="s">
        <v>17</v>
      </c>
    </row>
    <row r="80" spans="1:5" x14ac:dyDescent="0.3">
      <c r="A80" s="5" t="s">
        <v>97</v>
      </c>
      <c r="B80" s="5" t="s">
        <v>60</v>
      </c>
      <c r="C80" s="5" t="s">
        <v>16</v>
      </c>
      <c r="D80" s="5" t="s">
        <v>6</v>
      </c>
      <c r="E80" s="5" t="s">
        <v>32</v>
      </c>
    </row>
    <row r="81" spans="1:5" x14ac:dyDescent="0.3">
      <c r="A81" s="5" t="s">
        <v>97</v>
      </c>
      <c r="B81" s="5" t="s">
        <v>60</v>
      </c>
      <c r="C81" s="5" t="s">
        <v>19</v>
      </c>
      <c r="D81" s="5" t="s">
        <v>6</v>
      </c>
      <c r="E81" s="5" t="s">
        <v>12</v>
      </c>
    </row>
    <row r="82" spans="1:5" x14ac:dyDescent="0.3">
      <c r="A82" s="5" t="s">
        <v>97</v>
      </c>
      <c r="B82" s="5" t="s">
        <v>18</v>
      </c>
      <c r="C82" s="5" t="s">
        <v>9</v>
      </c>
      <c r="D82" s="5" t="s">
        <v>6</v>
      </c>
      <c r="E82" s="5" t="s">
        <v>284</v>
      </c>
    </row>
    <row r="83" spans="1:5" x14ac:dyDescent="0.3">
      <c r="A83" s="5" t="s">
        <v>97</v>
      </c>
      <c r="B83" s="5" t="s">
        <v>70</v>
      </c>
      <c r="C83" s="5" t="s">
        <v>46</v>
      </c>
      <c r="D83" s="5" t="s">
        <v>6</v>
      </c>
      <c r="E83" s="5" t="s">
        <v>17</v>
      </c>
    </row>
    <row r="84" spans="1:5" x14ac:dyDescent="0.3">
      <c r="A84" s="5" t="s">
        <v>97</v>
      </c>
      <c r="B84" s="5" t="s">
        <v>60</v>
      </c>
      <c r="C84" s="5" t="s">
        <v>19</v>
      </c>
      <c r="D84" s="5" t="s">
        <v>6</v>
      </c>
      <c r="E84" s="5" t="s">
        <v>7</v>
      </c>
    </row>
    <row r="85" spans="1:5" x14ac:dyDescent="0.3">
      <c r="A85" s="5" t="s">
        <v>99</v>
      </c>
      <c r="B85" s="5" t="s">
        <v>69</v>
      </c>
      <c r="C85" s="5" t="s">
        <v>56</v>
      </c>
      <c r="D85" s="5" t="s">
        <v>6</v>
      </c>
      <c r="E85" s="5" t="s">
        <v>7</v>
      </c>
    </row>
    <row r="86" spans="1:5" x14ac:dyDescent="0.3">
      <c r="A86" s="5" t="s">
        <v>97</v>
      </c>
      <c r="B86" s="5" t="s">
        <v>74</v>
      </c>
      <c r="C86" s="5" t="s">
        <v>9</v>
      </c>
      <c r="D86" s="5" t="s">
        <v>6</v>
      </c>
      <c r="E86" s="5" t="s">
        <v>284</v>
      </c>
    </row>
    <row r="87" spans="1:5" x14ac:dyDescent="0.3">
      <c r="A87" s="5" t="s">
        <v>97</v>
      </c>
      <c r="B87" s="5" t="s">
        <v>53</v>
      </c>
      <c r="C87" s="5" t="s">
        <v>65</v>
      </c>
      <c r="D87" s="5" t="s">
        <v>6</v>
      </c>
      <c r="E87" s="5" t="s">
        <v>17</v>
      </c>
    </row>
    <row r="88" spans="1:5" x14ac:dyDescent="0.3">
      <c r="A88" s="5" t="s">
        <v>97</v>
      </c>
      <c r="B88" s="5" t="s">
        <v>48</v>
      </c>
      <c r="C88" s="5" t="s">
        <v>54</v>
      </c>
      <c r="D88" s="5" t="s">
        <v>6</v>
      </c>
      <c r="E88" s="5" t="s">
        <v>32</v>
      </c>
    </row>
    <row r="89" spans="1:5" x14ac:dyDescent="0.3">
      <c r="A89" s="5" t="s">
        <v>97</v>
      </c>
      <c r="B89" s="5" t="s">
        <v>69</v>
      </c>
      <c r="C89" s="5" t="s">
        <v>11</v>
      </c>
      <c r="D89" s="5" t="s">
        <v>6</v>
      </c>
      <c r="E89" s="5" t="s">
        <v>17</v>
      </c>
    </row>
    <row r="90" spans="1:5" x14ac:dyDescent="0.3">
      <c r="A90" s="5" t="s">
        <v>99</v>
      </c>
      <c r="B90" s="5" t="s">
        <v>4</v>
      </c>
      <c r="C90" s="5" t="s">
        <v>52</v>
      </c>
      <c r="D90" s="5" t="s">
        <v>6</v>
      </c>
      <c r="E90" s="5" t="s">
        <v>12</v>
      </c>
    </row>
    <row r="91" spans="1:5" x14ac:dyDescent="0.3">
      <c r="A91" s="5" t="s">
        <v>97</v>
      </c>
      <c r="B91" s="5" t="s">
        <v>22</v>
      </c>
      <c r="C91" s="5" t="s">
        <v>31</v>
      </c>
      <c r="D91" s="5" t="s">
        <v>6</v>
      </c>
      <c r="E91" s="5" t="s">
        <v>21</v>
      </c>
    </row>
    <row r="92" spans="1:5" x14ac:dyDescent="0.3">
      <c r="A92" s="5" t="s">
        <v>97</v>
      </c>
      <c r="B92" s="5" t="s">
        <v>83</v>
      </c>
      <c r="C92" s="5" t="s">
        <v>11</v>
      </c>
      <c r="D92" s="5" t="s">
        <v>6</v>
      </c>
      <c r="E92" s="5" t="s">
        <v>21</v>
      </c>
    </row>
    <row r="93" spans="1:5" x14ac:dyDescent="0.3">
      <c r="A93" s="5" t="s">
        <v>97</v>
      </c>
      <c r="B93" s="5" t="s">
        <v>4</v>
      </c>
      <c r="C93" s="5" t="s">
        <v>73</v>
      </c>
      <c r="D93" s="5" t="s">
        <v>6</v>
      </c>
      <c r="E93" s="5" t="s">
        <v>17</v>
      </c>
    </row>
    <row r="94" spans="1:5" x14ac:dyDescent="0.3">
      <c r="A94" s="5" t="s">
        <v>97</v>
      </c>
      <c r="B94" s="5" t="s">
        <v>84</v>
      </c>
      <c r="C94" s="5" t="s">
        <v>54</v>
      </c>
      <c r="D94" s="5" t="s">
        <v>6</v>
      </c>
      <c r="E94" s="5" t="s">
        <v>12</v>
      </c>
    </row>
    <row r="95" spans="1:5" x14ac:dyDescent="0.3">
      <c r="A95" s="5" t="s">
        <v>97</v>
      </c>
      <c r="B95" s="5" t="s">
        <v>85</v>
      </c>
      <c r="C95" s="5" t="s">
        <v>16</v>
      </c>
      <c r="D95" s="5" t="s">
        <v>6</v>
      </c>
      <c r="E95" s="5" t="s">
        <v>7</v>
      </c>
    </row>
    <row r="96" spans="1:5" x14ac:dyDescent="0.3">
      <c r="A96" s="5" t="s">
        <v>97</v>
      </c>
      <c r="B96" s="5" t="s">
        <v>25</v>
      </c>
      <c r="C96" s="5" t="s">
        <v>46</v>
      </c>
      <c r="D96" s="5" t="s">
        <v>6</v>
      </c>
      <c r="E96" s="5" t="s">
        <v>7</v>
      </c>
    </row>
    <row r="97" spans="1:5" x14ac:dyDescent="0.3">
      <c r="A97" s="5" t="s">
        <v>97</v>
      </c>
      <c r="B97" s="5" t="s">
        <v>27</v>
      </c>
      <c r="C97" s="5" t="s">
        <v>11</v>
      </c>
      <c r="D97" s="5" t="s">
        <v>6</v>
      </c>
      <c r="E97" s="5" t="s">
        <v>32</v>
      </c>
    </row>
    <row r="98" spans="1:5" x14ac:dyDescent="0.3">
      <c r="A98" s="5" t="s">
        <v>97</v>
      </c>
      <c r="B98" s="5" t="s">
        <v>43</v>
      </c>
      <c r="C98" s="5" t="s">
        <v>52</v>
      </c>
      <c r="D98" s="5" t="s">
        <v>6</v>
      </c>
      <c r="E98" s="5" t="s">
        <v>12</v>
      </c>
    </row>
    <row r="99" spans="1:5" x14ac:dyDescent="0.3">
      <c r="A99" s="5" t="s">
        <v>99</v>
      </c>
      <c r="B99" s="5" t="s">
        <v>86</v>
      </c>
      <c r="C99" s="5" t="s">
        <v>59</v>
      </c>
      <c r="D99" s="5" t="s">
        <v>6</v>
      </c>
      <c r="E99" s="5" t="s">
        <v>7</v>
      </c>
    </row>
    <row r="100" spans="1:5" x14ac:dyDescent="0.3">
      <c r="A100" s="5" t="s">
        <v>97</v>
      </c>
      <c r="B100" s="5" t="s">
        <v>87</v>
      </c>
      <c r="C100" s="5" t="s">
        <v>46</v>
      </c>
      <c r="D100" s="5" t="s">
        <v>6</v>
      </c>
      <c r="E100" s="5" t="s">
        <v>21</v>
      </c>
    </row>
    <row r="101" spans="1:5" x14ac:dyDescent="0.3">
      <c r="A101" s="5" t="s">
        <v>97</v>
      </c>
      <c r="B101" s="5" t="s">
        <v>88</v>
      </c>
      <c r="C101" s="5" t="s">
        <v>73</v>
      </c>
      <c r="D101" s="5" t="s">
        <v>6</v>
      </c>
      <c r="E101" s="5" t="s">
        <v>17</v>
      </c>
    </row>
    <row r="102" spans="1:5" x14ac:dyDescent="0.3">
      <c r="A102" s="5" t="s">
        <v>97</v>
      </c>
      <c r="B102" s="5" t="s">
        <v>20</v>
      </c>
      <c r="C102" s="5" t="s">
        <v>54</v>
      </c>
      <c r="D102" s="5" t="s">
        <v>89</v>
      </c>
      <c r="E102" s="5" t="s">
        <v>12</v>
      </c>
    </row>
    <row r="103" spans="1:5" x14ac:dyDescent="0.3">
      <c r="A103" s="5" t="s">
        <v>97</v>
      </c>
      <c r="B103" s="5" t="s">
        <v>90</v>
      </c>
      <c r="C103" s="5" t="s">
        <v>9</v>
      </c>
      <c r="D103" s="5" t="s">
        <v>6</v>
      </c>
      <c r="E103" s="5" t="s">
        <v>284</v>
      </c>
    </row>
    <row r="104" spans="1:5" x14ac:dyDescent="0.3">
      <c r="A104" s="5" t="s">
        <v>97</v>
      </c>
      <c r="B104" s="5" t="s">
        <v>58</v>
      </c>
      <c r="C104" s="5" t="s">
        <v>46</v>
      </c>
      <c r="D104" s="5" t="s">
        <v>6</v>
      </c>
      <c r="E104" s="5" t="s">
        <v>7</v>
      </c>
    </row>
    <row r="105" spans="1:5" x14ac:dyDescent="0.3">
      <c r="A105" s="5" t="s">
        <v>97</v>
      </c>
      <c r="B105" s="5" t="s">
        <v>40</v>
      </c>
      <c r="C105" s="5" t="s">
        <v>11</v>
      </c>
      <c r="D105" s="5" t="s">
        <v>6</v>
      </c>
      <c r="E105" s="5" t="s">
        <v>21</v>
      </c>
    </row>
    <row r="106" spans="1:5" x14ac:dyDescent="0.3">
      <c r="A106" s="5" t="s">
        <v>97</v>
      </c>
      <c r="B106" s="5" t="s">
        <v>71</v>
      </c>
      <c r="C106" s="5" t="s">
        <v>23</v>
      </c>
      <c r="D106" s="5" t="s">
        <v>6</v>
      </c>
      <c r="E106" s="5" t="s">
        <v>284</v>
      </c>
    </row>
    <row r="107" spans="1:5" x14ac:dyDescent="0.3">
      <c r="A107" s="5" t="s">
        <v>97</v>
      </c>
      <c r="B107" s="5" t="s">
        <v>66</v>
      </c>
      <c r="C107" s="5" t="s">
        <v>46</v>
      </c>
      <c r="D107" s="5" t="s">
        <v>6</v>
      </c>
      <c r="E107" s="5" t="s">
        <v>17</v>
      </c>
    </row>
    <row r="108" spans="1:5" x14ac:dyDescent="0.3">
      <c r="A108" s="5" t="s">
        <v>97</v>
      </c>
      <c r="B108" s="5" t="s">
        <v>83</v>
      </c>
      <c r="C108" s="5" t="s">
        <v>59</v>
      </c>
      <c r="D108" s="5" t="s">
        <v>6</v>
      </c>
      <c r="E108" s="5" t="s">
        <v>12</v>
      </c>
    </row>
    <row r="109" spans="1:5" x14ac:dyDescent="0.3">
      <c r="A109" s="5" t="s">
        <v>97</v>
      </c>
      <c r="B109" s="5" t="s">
        <v>8</v>
      </c>
      <c r="C109" s="5" t="s">
        <v>23</v>
      </c>
      <c r="D109" s="5" t="s">
        <v>6</v>
      </c>
      <c r="E109" s="5" t="s">
        <v>284</v>
      </c>
    </row>
    <row r="110" spans="1:5" x14ac:dyDescent="0.3">
      <c r="A110" s="5" t="s">
        <v>97</v>
      </c>
      <c r="B110" s="5" t="s">
        <v>91</v>
      </c>
      <c r="C110" s="5" t="s">
        <v>39</v>
      </c>
      <c r="D110" s="5" t="s">
        <v>6</v>
      </c>
      <c r="E110" s="5" t="s">
        <v>7</v>
      </c>
    </row>
    <row r="111" spans="1:5" x14ac:dyDescent="0.3">
      <c r="A111" s="5" t="s">
        <v>97</v>
      </c>
      <c r="B111" s="5" t="s">
        <v>20</v>
      </c>
      <c r="C111" s="5" t="s">
        <v>5</v>
      </c>
      <c r="D111" s="5" t="s">
        <v>6</v>
      </c>
      <c r="E111" s="5" t="s">
        <v>17</v>
      </c>
    </row>
    <row r="112" spans="1:5" x14ac:dyDescent="0.3">
      <c r="A112" s="5" t="s">
        <v>99</v>
      </c>
      <c r="B112" s="5" t="s">
        <v>69</v>
      </c>
      <c r="C112" s="5" t="s">
        <v>9</v>
      </c>
      <c r="D112" s="5" t="s">
        <v>6</v>
      </c>
      <c r="E112" s="5" t="s">
        <v>284</v>
      </c>
    </row>
    <row r="113" spans="1:5" x14ac:dyDescent="0.3">
      <c r="A113" s="5" t="s">
        <v>97</v>
      </c>
      <c r="B113" s="5" t="s">
        <v>38</v>
      </c>
      <c r="C113" s="5" t="s">
        <v>5</v>
      </c>
      <c r="D113" s="5" t="s">
        <v>89</v>
      </c>
      <c r="E113" s="5" t="s">
        <v>32</v>
      </c>
    </row>
    <row r="114" spans="1:5" x14ac:dyDescent="0.3">
      <c r="A114" s="5" t="s">
        <v>98</v>
      </c>
      <c r="B114" s="5" t="s">
        <v>92</v>
      </c>
      <c r="C114" s="5" t="s">
        <v>59</v>
      </c>
      <c r="D114" s="5" t="s">
        <v>6</v>
      </c>
      <c r="E114" s="5" t="s">
        <v>21</v>
      </c>
    </row>
    <row r="115" spans="1:5" x14ac:dyDescent="0.3">
      <c r="A115" s="5" t="s">
        <v>97</v>
      </c>
      <c r="B115" s="5" t="s">
        <v>42</v>
      </c>
      <c r="C115" s="5" t="s">
        <v>52</v>
      </c>
      <c r="D115" s="5" t="s">
        <v>6</v>
      </c>
      <c r="E115" s="5" t="s">
        <v>17</v>
      </c>
    </row>
    <row r="116" spans="1:5" x14ac:dyDescent="0.3">
      <c r="A116" s="5" t="s">
        <v>97</v>
      </c>
      <c r="B116" s="5" t="s">
        <v>80</v>
      </c>
      <c r="C116" s="5" t="s">
        <v>54</v>
      </c>
      <c r="D116" s="5" t="s">
        <v>6</v>
      </c>
      <c r="E116" s="5" t="s">
        <v>21</v>
      </c>
    </row>
    <row r="117" spans="1:5" x14ac:dyDescent="0.3">
      <c r="A117" s="5" t="s">
        <v>99</v>
      </c>
      <c r="B117" s="5" t="s">
        <v>15</v>
      </c>
      <c r="C117" s="5" t="s">
        <v>5</v>
      </c>
      <c r="D117" s="5" t="s">
        <v>6</v>
      </c>
      <c r="E117" s="5" t="s">
        <v>7</v>
      </c>
    </row>
    <row r="118" spans="1:5" x14ac:dyDescent="0.3">
      <c r="A118" s="5" t="s">
        <v>99</v>
      </c>
      <c r="B118" s="5" t="s">
        <v>43</v>
      </c>
      <c r="C118" s="5" t="s">
        <v>46</v>
      </c>
      <c r="D118" s="5" t="s">
        <v>6</v>
      </c>
      <c r="E118" s="5" t="s">
        <v>7</v>
      </c>
    </row>
    <row r="119" spans="1:5" x14ac:dyDescent="0.3">
      <c r="A119" s="5" t="s">
        <v>98</v>
      </c>
      <c r="B119" s="5" t="s">
        <v>8</v>
      </c>
      <c r="C119" s="5" t="s">
        <v>54</v>
      </c>
      <c r="D119" s="5" t="s">
        <v>6</v>
      </c>
      <c r="E119" s="5" t="s">
        <v>7</v>
      </c>
    </row>
    <row r="120" spans="1:5" x14ac:dyDescent="0.3">
      <c r="A120" s="5" t="s">
        <v>97</v>
      </c>
      <c r="B120" s="5" t="s">
        <v>63</v>
      </c>
      <c r="C120" s="5" t="s">
        <v>19</v>
      </c>
      <c r="D120" s="5" t="s">
        <v>6</v>
      </c>
      <c r="E120" s="5" t="s">
        <v>17</v>
      </c>
    </row>
    <row r="121" spans="1:5" x14ac:dyDescent="0.3">
      <c r="A121" s="5" t="s">
        <v>98</v>
      </c>
      <c r="B121" s="5" t="s">
        <v>38</v>
      </c>
      <c r="C121" s="5" t="s">
        <v>46</v>
      </c>
      <c r="D121" s="5" t="s">
        <v>6</v>
      </c>
      <c r="E121" s="5" t="s">
        <v>12</v>
      </c>
    </row>
    <row r="122" spans="1:5" x14ac:dyDescent="0.3">
      <c r="A122" s="5" t="s">
        <v>97</v>
      </c>
      <c r="B122" s="5" t="s">
        <v>43</v>
      </c>
      <c r="C122" s="5" t="s">
        <v>26</v>
      </c>
      <c r="D122" s="5" t="s">
        <v>6</v>
      </c>
      <c r="E122" s="5" t="s">
        <v>284</v>
      </c>
    </row>
    <row r="123" spans="1:5" x14ac:dyDescent="0.3">
      <c r="A123" s="5" t="s">
        <v>97</v>
      </c>
      <c r="B123" s="5" t="s">
        <v>36</v>
      </c>
      <c r="C123" s="5" t="s">
        <v>9</v>
      </c>
      <c r="D123" s="5" t="s">
        <v>6</v>
      </c>
      <c r="E123" s="5" t="s">
        <v>284</v>
      </c>
    </row>
    <row r="124" spans="1:5" x14ac:dyDescent="0.3">
      <c r="A124" s="5" t="s">
        <v>97</v>
      </c>
      <c r="B124" s="5" t="s">
        <v>81</v>
      </c>
      <c r="C124" s="5" t="s">
        <v>19</v>
      </c>
      <c r="D124" s="5" t="s">
        <v>6</v>
      </c>
      <c r="E124" s="5" t="s">
        <v>21</v>
      </c>
    </row>
    <row r="125" spans="1:5" x14ac:dyDescent="0.3">
      <c r="A125" s="5" t="s">
        <v>97</v>
      </c>
      <c r="B125" s="5" t="s">
        <v>48</v>
      </c>
      <c r="C125" s="5" t="s">
        <v>59</v>
      </c>
      <c r="D125" s="5" t="s">
        <v>6</v>
      </c>
      <c r="E125" s="5" t="s">
        <v>12</v>
      </c>
    </row>
    <row r="126" spans="1:5" x14ac:dyDescent="0.3">
      <c r="A126" s="5" t="s">
        <v>97</v>
      </c>
      <c r="B126" s="5" t="s">
        <v>47</v>
      </c>
      <c r="C126" s="5" t="s">
        <v>19</v>
      </c>
      <c r="D126" s="5" t="s">
        <v>6</v>
      </c>
      <c r="E126" s="5" t="s">
        <v>7</v>
      </c>
    </row>
    <row r="127" spans="1:5" x14ac:dyDescent="0.3">
      <c r="A127" s="5" t="s">
        <v>97</v>
      </c>
      <c r="B127" s="5" t="s">
        <v>42</v>
      </c>
      <c r="C127" s="5" t="s">
        <v>56</v>
      </c>
      <c r="D127" s="5" t="s">
        <v>6</v>
      </c>
      <c r="E127" s="5" t="s">
        <v>12</v>
      </c>
    </row>
    <row r="128" spans="1:5" x14ac:dyDescent="0.3">
      <c r="A128" s="5" t="s">
        <v>97</v>
      </c>
      <c r="B128" s="5" t="s">
        <v>79</v>
      </c>
      <c r="C128" s="5" t="s">
        <v>11</v>
      </c>
      <c r="D128" s="5" t="s">
        <v>6</v>
      </c>
      <c r="E128" s="5" t="s">
        <v>17</v>
      </c>
    </row>
    <row r="129" spans="1:5" x14ac:dyDescent="0.3">
      <c r="A129" s="5" t="s">
        <v>99</v>
      </c>
      <c r="B129" s="5" t="s">
        <v>93</v>
      </c>
      <c r="C129" s="5" t="s">
        <v>14</v>
      </c>
      <c r="D129" s="5" t="s">
        <v>6</v>
      </c>
      <c r="E129" s="5" t="s">
        <v>284</v>
      </c>
    </row>
    <row r="130" spans="1:5" x14ac:dyDescent="0.3">
      <c r="A130" s="5" t="s">
        <v>97</v>
      </c>
      <c r="B130" s="5" t="s">
        <v>47</v>
      </c>
      <c r="C130" s="5" t="s">
        <v>59</v>
      </c>
      <c r="D130" s="5" t="s">
        <v>6</v>
      </c>
      <c r="E130" s="5" t="s">
        <v>32</v>
      </c>
    </row>
    <row r="131" spans="1:5" x14ac:dyDescent="0.3">
      <c r="A131" s="5" t="s">
        <v>97</v>
      </c>
      <c r="B131" s="5" t="s">
        <v>24</v>
      </c>
      <c r="C131" s="5" t="s">
        <v>26</v>
      </c>
      <c r="D131" s="5" t="s">
        <v>6</v>
      </c>
      <c r="E131" s="5" t="s">
        <v>284</v>
      </c>
    </row>
    <row r="132" spans="1:5" x14ac:dyDescent="0.3">
      <c r="A132" s="5" t="s">
        <v>97</v>
      </c>
      <c r="B132" s="5" t="s">
        <v>74</v>
      </c>
      <c r="C132" s="5" t="s">
        <v>39</v>
      </c>
      <c r="D132" s="5" t="s">
        <v>6</v>
      </c>
      <c r="E132" s="5" t="s">
        <v>21</v>
      </c>
    </row>
    <row r="133" spans="1:5" x14ac:dyDescent="0.3">
      <c r="A133" s="5" t="s">
        <v>97</v>
      </c>
      <c r="B133" s="5" t="s">
        <v>60</v>
      </c>
      <c r="C133" s="5" t="s">
        <v>65</v>
      </c>
      <c r="D133" s="5" t="s">
        <v>6</v>
      </c>
      <c r="E133" s="5" t="s">
        <v>21</v>
      </c>
    </row>
    <row r="134" spans="1:5" x14ac:dyDescent="0.3">
      <c r="A134" s="5" t="s">
        <v>97</v>
      </c>
      <c r="B134" s="5" t="s">
        <v>51</v>
      </c>
      <c r="C134" s="5" t="s">
        <v>26</v>
      </c>
      <c r="D134" s="5" t="s">
        <v>6</v>
      </c>
      <c r="E134" s="5" t="s">
        <v>284</v>
      </c>
    </row>
    <row r="135" spans="1:5" x14ac:dyDescent="0.3">
      <c r="A135" s="5" t="s">
        <v>97</v>
      </c>
      <c r="B135" s="5" t="s">
        <v>30</v>
      </c>
      <c r="C135" s="5" t="s">
        <v>29</v>
      </c>
      <c r="D135" s="5" t="s">
        <v>6</v>
      </c>
      <c r="E135" s="5" t="s">
        <v>17</v>
      </c>
    </row>
    <row r="136" spans="1:5" x14ac:dyDescent="0.3">
      <c r="A136" s="5" t="s">
        <v>97</v>
      </c>
      <c r="B136" s="5" t="s">
        <v>70</v>
      </c>
      <c r="C136" s="5" t="s">
        <v>26</v>
      </c>
      <c r="D136" s="5" t="s">
        <v>6</v>
      </c>
      <c r="E136" s="5" t="s">
        <v>284</v>
      </c>
    </row>
    <row r="137" spans="1:5" x14ac:dyDescent="0.3">
      <c r="A137" s="5" t="s">
        <v>97</v>
      </c>
      <c r="B137" s="5" t="s">
        <v>88</v>
      </c>
      <c r="C137" s="5" t="s">
        <v>5</v>
      </c>
      <c r="D137" s="5" t="s">
        <v>6</v>
      </c>
      <c r="E137" s="5" t="s">
        <v>21</v>
      </c>
    </row>
    <row r="138" spans="1:5" x14ac:dyDescent="0.3">
      <c r="A138" s="5" t="s">
        <v>97</v>
      </c>
      <c r="B138" s="5" t="s">
        <v>94</v>
      </c>
      <c r="C138" s="5" t="s">
        <v>29</v>
      </c>
      <c r="D138" s="5" t="s">
        <v>6</v>
      </c>
      <c r="E138" s="5" t="s">
        <v>17</v>
      </c>
    </row>
    <row r="139" spans="1:5" x14ac:dyDescent="0.3">
      <c r="A139" s="5" t="s">
        <v>97</v>
      </c>
      <c r="B139" s="5" t="s">
        <v>47</v>
      </c>
      <c r="C139" s="5" t="s">
        <v>9</v>
      </c>
      <c r="D139" s="5" t="s">
        <v>6</v>
      </c>
      <c r="E139" s="5" t="s">
        <v>284</v>
      </c>
    </row>
    <row r="140" spans="1:5" x14ac:dyDescent="0.3">
      <c r="A140" s="5" t="s">
        <v>98</v>
      </c>
      <c r="B140" s="5" t="s">
        <v>45</v>
      </c>
      <c r="C140" s="5" t="s">
        <v>52</v>
      </c>
      <c r="D140" s="5" t="s">
        <v>6</v>
      </c>
      <c r="E140" s="5" t="s">
        <v>12</v>
      </c>
    </row>
    <row r="141" spans="1:5" x14ac:dyDescent="0.3">
      <c r="A141" s="5" t="s">
        <v>97</v>
      </c>
      <c r="B141" s="5" t="s">
        <v>42</v>
      </c>
      <c r="C141" s="5" t="s">
        <v>26</v>
      </c>
      <c r="D141" s="5" t="s">
        <v>6</v>
      </c>
      <c r="E141" s="5" t="s">
        <v>284</v>
      </c>
    </row>
    <row r="142" spans="1:5" x14ac:dyDescent="0.3">
      <c r="A142" s="5" t="s">
        <v>97</v>
      </c>
      <c r="B142" s="5" t="s">
        <v>80</v>
      </c>
      <c r="C142" s="5" t="s">
        <v>29</v>
      </c>
      <c r="D142" s="5" t="s">
        <v>6</v>
      </c>
      <c r="E142" s="5" t="s">
        <v>32</v>
      </c>
    </row>
    <row r="143" spans="1:5" x14ac:dyDescent="0.3">
      <c r="A143" s="5" t="s">
        <v>97</v>
      </c>
      <c r="B143" s="5" t="s">
        <v>38</v>
      </c>
      <c r="C143" s="5" t="s">
        <v>23</v>
      </c>
      <c r="D143" s="5" t="s">
        <v>6</v>
      </c>
      <c r="E143" s="5" t="s">
        <v>284</v>
      </c>
    </row>
    <row r="144" spans="1:5" x14ac:dyDescent="0.3">
      <c r="A144" s="5" t="s">
        <v>97</v>
      </c>
      <c r="B144" s="5" t="s">
        <v>81</v>
      </c>
      <c r="C144" s="5" t="s">
        <v>73</v>
      </c>
      <c r="D144" s="5" t="s">
        <v>6</v>
      </c>
      <c r="E144" s="5" t="s">
        <v>17</v>
      </c>
    </row>
    <row r="145" spans="1:5" x14ac:dyDescent="0.3">
      <c r="A145" s="5" t="s">
        <v>97</v>
      </c>
      <c r="B145" s="5" t="s">
        <v>95</v>
      </c>
      <c r="C145" s="5" t="s">
        <v>65</v>
      </c>
      <c r="D145" s="5" t="s">
        <v>6</v>
      </c>
      <c r="E145" s="5" t="s">
        <v>21</v>
      </c>
    </row>
    <row r="146" spans="1:5" x14ac:dyDescent="0.3">
      <c r="A146" s="5" t="s">
        <v>97</v>
      </c>
      <c r="B146" s="5" t="s">
        <v>78</v>
      </c>
      <c r="C146" s="5" t="s">
        <v>39</v>
      </c>
      <c r="D146" s="5" t="s">
        <v>6</v>
      </c>
      <c r="E146" s="5" t="s">
        <v>7</v>
      </c>
    </row>
    <row r="147" spans="1:5" x14ac:dyDescent="0.3">
      <c r="A147" s="5" t="s">
        <v>97</v>
      </c>
      <c r="B147" s="5" t="s">
        <v>87</v>
      </c>
      <c r="C147" s="5" t="s">
        <v>31</v>
      </c>
      <c r="D147" s="5" t="s">
        <v>6</v>
      </c>
      <c r="E147" s="5" t="s">
        <v>7</v>
      </c>
    </row>
    <row r="148" spans="1:5" x14ac:dyDescent="0.3">
      <c r="A148" s="5" t="s">
        <v>97</v>
      </c>
    </row>
    <row r="149" spans="1:5" x14ac:dyDescent="0.3">
      <c r="A149" s="5" t="s">
        <v>99</v>
      </c>
    </row>
    <row r="150" spans="1:5" x14ac:dyDescent="0.3">
      <c r="A150" s="5" t="s">
        <v>97</v>
      </c>
    </row>
    <row r="151" spans="1:5" x14ac:dyDescent="0.3">
      <c r="A151" s="5" t="s">
        <v>97</v>
      </c>
    </row>
  </sheetData>
  <conditionalFormatting sqref="A1:E151 G32">
    <cfRule type="containsText" dxfId="1" priority="1" operator="containsText" text="course over capacity">
      <formula>NOT(ISERROR(SEARCH("course over capacity",A1)))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156A-68C3-4737-9CDC-C99A974C2351}">
  <sheetPr>
    <tabColor rgb="FF00B0F0"/>
  </sheetPr>
  <dimension ref="B2:D9"/>
  <sheetViews>
    <sheetView workbookViewId="0">
      <selection activeCell="G27" sqref="G27"/>
    </sheetView>
  </sheetViews>
  <sheetFormatPr defaultRowHeight="14.4" x14ac:dyDescent="0.3"/>
  <cols>
    <col min="2" max="2" width="11.6640625" bestFit="1" customWidth="1"/>
    <col min="4" max="4" width="10.88671875" bestFit="1" customWidth="1"/>
  </cols>
  <sheetData>
    <row r="2" spans="2:4" x14ac:dyDescent="0.3">
      <c r="B2" s="15" t="s">
        <v>138</v>
      </c>
      <c r="C2" s="15" t="s">
        <v>285</v>
      </c>
      <c r="D2" s="15"/>
    </row>
    <row r="3" spans="2:4" x14ac:dyDescent="0.3">
      <c r="B3" s="10" t="s">
        <v>140</v>
      </c>
      <c r="C3">
        <v>2015</v>
      </c>
    </row>
    <row r="4" spans="2:4" x14ac:dyDescent="0.3">
      <c r="B4" s="10" t="s">
        <v>166</v>
      </c>
      <c r="C4">
        <v>2016</v>
      </c>
    </row>
    <row r="5" spans="2:4" x14ac:dyDescent="0.3">
      <c r="B5" s="10" t="s">
        <v>151</v>
      </c>
      <c r="C5" s="46"/>
    </row>
    <row r="6" spans="2:4" x14ac:dyDescent="0.3">
      <c r="B6" s="10" t="s">
        <v>142</v>
      </c>
    </row>
    <row r="7" spans="2:4" x14ac:dyDescent="0.3">
      <c r="B7" s="10" t="s">
        <v>148</v>
      </c>
    </row>
    <row r="8" spans="2:4" x14ac:dyDescent="0.3">
      <c r="B8" s="10" t="s">
        <v>144</v>
      </c>
    </row>
    <row r="9" spans="2:4" x14ac:dyDescent="0.3">
      <c r="B9" s="10" t="s">
        <v>323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1598-C490-4BEB-8EDC-45218F6D0D0F}">
  <sheetPr>
    <tabColor rgb="FF00B0F0"/>
  </sheetPr>
  <dimension ref="B1:AA192"/>
  <sheetViews>
    <sheetView topLeftCell="A16" zoomScaleNormal="100" workbookViewId="0">
      <selection activeCell="G31" sqref="G31"/>
    </sheetView>
  </sheetViews>
  <sheetFormatPr defaultRowHeight="14.4" x14ac:dyDescent="0.3"/>
  <cols>
    <col min="2" max="2" width="33.33203125" bestFit="1" customWidth="1"/>
    <col min="3" max="3" width="16.33203125" customWidth="1"/>
    <col min="4" max="4" width="11.6640625" bestFit="1" customWidth="1"/>
    <col min="5" max="5" width="41.6640625" bestFit="1" customWidth="1"/>
    <col min="6" max="6" width="17.6640625" bestFit="1" customWidth="1"/>
    <col min="7" max="7" width="41.6640625" bestFit="1" customWidth="1"/>
    <col min="8" max="8" width="17.44140625" bestFit="1" customWidth="1"/>
    <col min="9" max="9" width="41.6640625" bestFit="1" customWidth="1"/>
    <col min="10" max="10" width="19" style="22" customWidth="1"/>
    <col min="11" max="11" width="33" customWidth="1"/>
    <col min="12" max="12" width="18.6640625" customWidth="1"/>
    <col min="13" max="13" width="24.109375" customWidth="1"/>
    <col min="14" max="14" width="34.109375" customWidth="1"/>
    <col min="15" max="15" width="29.88671875" customWidth="1"/>
    <col min="16" max="16" width="40.109375" bestFit="1" customWidth="1"/>
    <col min="17" max="17" width="25.5546875" bestFit="1" customWidth="1"/>
    <col min="18" max="18" width="28.33203125" customWidth="1"/>
    <col min="19" max="19" width="29.5546875" customWidth="1"/>
    <col min="21" max="21" width="41.6640625" bestFit="1" customWidth="1"/>
    <col min="22" max="22" width="13.33203125" bestFit="1" customWidth="1"/>
    <col min="23" max="23" width="13.5546875" bestFit="1" customWidth="1"/>
    <col min="24" max="24" width="11.44140625" bestFit="1" customWidth="1"/>
    <col min="26" max="26" width="14.33203125" bestFit="1" customWidth="1"/>
    <col min="27" max="27" width="11.5546875" bestFit="1" customWidth="1"/>
    <col min="28" max="28" width="13.109375" bestFit="1" customWidth="1"/>
    <col min="29" max="29" width="11" bestFit="1" customWidth="1"/>
    <col min="30" max="30" width="34.88671875" bestFit="1" customWidth="1"/>
    <col min="31" max="31" width="13.88671875" bestFit="1" customWidth="1"/>
    <col min="32" max="32" width="21.5546875" bestFit="1" customWidth="1"/>
    <col min="33" max="33" width="16.33203125" bestFit="1" customWidth="1"/>
    <col min="34" max="34" width="5" bestFit="1" customWidth="1"/>
    <col min="35" max="35" width="11.33203125" bestFit="1" customWidth="1"/>
    <col min="36" max="36" width="19.5546875" bestFit="1" customWidth="1"/>
    <col min="37" max="37" width="40.109375" bestFit="1" customWidth="1"/>
    <col min="38" max="38" width="23" bestFit="1" customWidth="1"/>
    <col min="39" max="40" width="23.5546875" bestFit="1" customWidth="1"/>
    <col min="41" max="41" width="5" bestFit="1" customWidth="1"/>
    <col min="42" max="42" width="28.44140625" bestFit="1" customWidth="1"/>
    <col min="43" max="43" width="63.44140625" bestFit="1" customWidth="1"/>
    <col min="44" max="44" width="34.5546875" bestFit="1" customWidth="1"/>
    <col min="45" max="45" width="40.33203125" bestFit="1" customWidth="1"/>
    <col min="46" max="46" width="34.5546875" bestFit="1" customWidth="1"/>
    <col min="47" max="47" width="23.5546875" bestFit="1" customWidth="1"/>
    <col min="48" max="48" width="25.88671875" bestFit="1" customWidth="1"/>
    <col min="49" max="49" width="24.88671875" bestFit="1" customWidth="1"/>
    <col min="50" max="50" width="21.44140625" bestFit="1" customWidth="1"/>
    <col min="51" max="51" width="27.109375" bestFit="1" customWidth="1"/>
    <col min="52" max="52" width="18.88671875" bestFit="1" customWidth="1"/>
    <col min="53" max="53" width="16" bestFit="1" customWidth="1"/>
    <col min="54" max="54" width="33.5546875" bestFit="1" customWidth="1"/>
    <col min="55" max="55" width="30.109375" bestFit="1" customWidth="1"/>
    <col min="56" max="56" width="35.88671875" bestFit="1" customWidth="1"/>
    <col min="57" max="57" width="33.5546875" bestFit="1" customWidth="1"/>
    <col min="58" max="58" width="15.5546875" bestFit="1" customWidth="1"/>
    <col min="59" max="59" width="7.33203125" bestFit="1" customWidth="1"/>
    <col min="60" max="60" width="11.33203125" bestFit="1" customWidth="1"/>
    <col min="61" max="61" width="19" bestFit="1" customWidth="1"/>
    <col min="62" max="62" width="21" bestFit="1" customWidth="1"/>
    <col min="63" max="63" width="22.5546875" bestFit="1" customWidth="1"/>
    <col min="64" max="64" width="24.5546875" bestFit="1" customWidth="1"/>
    <col min="65" max="65" width="16" bestFit="1" customWidth="1"/>
    <col min="66" max="66" width="20.44140625" bestFit="1" customWidth="1"/>
    <col min="67" max="67" width="33.5546875" bestFit="1" customWidth="1"/>
    <col min="68" max="68" width="20.44140625" bestFit="1" customWidth="1"/>
    <col min="69" max="69" width="30.109375" bestFit="1" customWidth="1"/>
    <col min="70" max="70" width="20.44140625" bestFit="1" customWidth="1"/>
    <col min="71" max="71" width="35.88671875" bestFit="1" customWidth="1"/>
    <col min="72" max="72" width="20.44140625" bestFit="1" customWidth="1"/>
    <col min="73" max="73" width="33.5546875" bestFit="1" customWidth="1"/>
    <col min="74" max="74" width="20.44140625" bestFit="1" customWidth="1"/>
    <col min="75" max="75" width="15.88671875" bestFit="1" customWidth="1"/>
    <col min="76" max="76" width="20.44140625" bestFit="1" customWidth="1"/>
    <col min="77" max="77" width="20.88671875" bestFit="1" customWidth="1"/>
    <col min="78" max="78" width="25.5546875" bestFit="1" customWidth="1"/>
    <col min="79" max="79" width="20.44140625" bestFit="1" customWidth="1"/>
    <col min="80" max="80" width="17.6640625" bestFit="1" customWidth="1"/>
    <col min="81" max="81" width="15.88671875" bestFit="1" customWidth="1"/>
    <col min="82" max="82" width="20.44140625" bestFit="1" customWidth="1"/>
    <col min="83" max="83" width="33.5546875" bestFit="1" customWidth="1"/>
    <col min="84" max="84" width="15.88671875" bestFit="1" customWidth="1"/>
    <col min="85" max="85" width="20.44140625" bestFit="1" customWidth="1"/>
    <col min="86" max="86" width="30.109375" bestFit="1" customWidth="1"/>
    <col min="87" max="87" width="15.88671875" bestFit="1" customWidth="1"/>
    <col min="88" max="88" width="20.44140625" bestFit="1" customWidth="1"/>
    <col min="89" max="89" width="35.88671875" bestFit="1" customWidth="1"/>
    <col min="90" max="90" width="15.88671875" bestFit="1" customWidth="1"/>
    <col min="91" max="91" width="20.44140625" bestFit="1" customWidth="1"/>
    <col min="92" max="92" width="33.5546875" bestFit="1" customWidth="1"/>
    <col min="93" max="93" width="15.88671875" bestFit="1" customWidth="1"/>
    <col min="94" max="94" width="20.44140625" bestFit="1" customWidth="1"/>
    <col min="95" max="95" width="17.6640625" bestFit="1" customWidth="1"/>
    <col min="96" max="96" width="15.88671875" bestFit="1" customWidth="1"/>
    <col min="97" max="97" width="20.44140625" bestFit="1" customWidth="1"/>
    <col min="98" max="98" width="22.6640625" bestFit="1" customWidth="1"/>
    <col min="99" max="99" width="20.88671875" bestFit="1" customWidth="1"/>
    <col min="100" max="100" width="25.5546875" bestFit="1" customWidth="1"/>
    <col min="101" max="101" width="15.88671875" bestFit="1" customWidth="1"/>
    <col min="102" max="102" width="20.44140625" bestFit="1" customWidth="1"/>
    <col min="103" max="103" width="30.109375" bestFit="1" customWidth="1"/>
    <col min="104" max="104" width="17.6640625" bestFit="1" customWidth="1"/>
    <col min="105" max="105" width="15.88671875" bestFit="1" customWidth="1"/>
    <col min="106" max="106" width="20.44140625" bestFit="1" customWidth="1"/>
    <col min="107" max="107" width="35.88671875" bestFit="1" customWidth="1"/>
    <col min="108" max="108" width="17.6640625" bestFit="1" customWidth="1"/>
    <col min="109" max="109" width="15.88671875" bestFit="1" customWidth="1"/>
    <col min="110" max="110" width="20.44140625" bestFit="1" customWidth="1"/>
    <col min="111" max="111" width="33.5546875" bestFit="1" customWidth="1"/>
    <col min="112" max="112" width="17.6640625" bestFit="1" customWidth="1"/>
    <col min="113" max="113" width="15.88671875" bestFit="1" customWidth="1"/>
    <col min="114" max="114" width="20.44140625" bestFit="1" customWidth="1"/>
    <col min="115" max="115" width="19.5546875" bestFit="1" customWidth="1"/>
    <col min="116" max="116" width="17.6640625" bestFit="1" customWidth="1"/>
    <col min="117" max="117" width="15.88671875" bestFit="1" customWidth="1"/>
    <col min="118" max="118" width="20.44140625" bestFit="1" customWidth="1"/>
    <col min="119" max="119" width="24.5546875" bestFit="1" customWidth="1"/>
    <col min="120" max="120" width="22.6640625" bestFit="1" customWidth="1"/>
    <col min="121" max="121" width="20.88671875" bestFit="1" customWidth="1"/>
    <col min="122" max="122" width="25.5546875" bestFit="1" customWidth="1"/>
    <col min="123" max="138" width="40.33203125" bestFit="1" customWidth="1"/>
    <col min="139" max="139" width="22.5546875" bestFit="1" customWidth="1"/>
    <col min="140" max="140" width="24.5546875" bestFit="1" customWidth="1"/>
    <col min="141" max="141" width="22.6640625" bestFit="1" customWidth="1"/>
    <col min="142" max="142" width="20.88671875" bestFit="1" customWidth="1"/>
    <col min="143" max="143" width="25.5546875" bestFit="1" customWidth="1"/>
  </cols>
  <sheetData>
    <row r="1" spans="2:27" x14ac:dyDescent="0.3">
      <c r="E1" s="82" t="s">
        <v>315</v>
      </c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2:27" x14ac:dyDescent="0.3">
      <c r="E2" s="85" t="s">
        <v>301</v>
      </c>
      <c r="F2" s="85" t="s">
        <v>302</v>
      </c>
      <c r="G2" s="87" t="s">
        <v>319</v>
      </c>
      <c r="H2" s="87" t="s">
        <v>106</v>
      </c>
      <c r="I2" s="87" t="s">
        <v>304</v>
      </c>
      <c r="J2" s="89" t="s">
        <v>307</v>
      </c>
      <c r="K2" s="90"/>
      <c r="L2" s="90"/>
      <c r="M2" s="90"/>
      <c r="N2" s="90"/>
      <c r="O2" s="91"/>
      <c r="Q2" s="9" t="s">
        <v>281</v>
      </c>
      <c r="R2" t="s">
        <v>313</v>
      </c>
      <c r="S2" t="s">
        <v>314</v>
      </c>
    </row>
    <row r="3" spans="2:27" x14ac:dyDescent="0.3">
      <c r="B3" s="50" t="s">
        <v>309</v>
      </c>
      <c r="C3" s="51">
        <f>Dashboard!$E$6</f>
        <v>2016</v>
      </c>
      <c r="E3" s="86"/>
      <c r="F3" s="86"/>
      <c r="G3" s="88"/>
      <c r="H3" s="88"/>
      <c r="I3" s="88"/>
      <c r="J3" s="29" t="s">
        <v>12</v>
      </c>
      <c r="K3" s="29" t="s">
        <v>32</v>
      </c>
      <c r="L3" s="29" t="s">
        <v>21</v>
      </c>
      <c r="M3" s="29" t="s">
        <v>17</v>
      </c>
      <c r="N3" s="29" t="s">
        <v>7</v>
      </c>
      <c r="O3" s="29" t="s">
        <v>308</v>
      </c>
      <c r="Q3" s="10" t="s">
        <v>305</v>
      </c>
      <c r="R3">
        <v>126</v>
      </c>
      <c r="S3">
        <v>335</v>
      </c>
      <c r="U3" s="33" t="s">
        <v>301</v>
      </c>
      <c r="V3" s="34" t="s">
        <v>12</v>
      </c>
      <c r="W3" s="34" t="s">
        <v>32</v>
      </c>
      <c r="X3" s="34" t="s">
        <v>21</v>
      </c>
      <c r="Y3" s="34" t="s">
        <v>17</v>
      </c>
      <c r="Z3" s="34" t="s">
        <v>7</v>
      </c>
      <c r="AA3" s="34" t="s">
        <v>308</v>
      </c>
    </row>
    <row r="4" spans="2:27" x14ac:dyDescent="0.3">
      <c r="B4" s="50" t="s">
        <v>138</v>
      </c>
      <c r="C4" s="51">
        <f>Dashboard!$W$6</f>
        <v>0</v>
      </c>
      <c r="E4" s="24" t="s">
        <v>11</v>
      </c>
      <c r="F4" s="12">
        <v>10</v>
      </c>
      <c r="G4" s="24">
        <f t="shared" ref="G4:G18" si="0">COUNTIF($G$40:$G$185,E4)</f>
        <v>9</v>
      </c>
      <c r="H4" s="27">
        <v>5000</v>
      </c>
      <c r="I4" s="25" t="s">
        <v>305</v>
      </c>
      <c r="J4" s="12">
        <f t="shared" ref="J4:J24" si="1">COUNTIFS($L$40:$L$185,$J$3,$G$40:$G$185,E4)</f>
        <v>2</v>
      </c>
      <c r="K4" s="12">
        <f t="shared" ref="K4:K24" si="2">COUNTIFS($L$40:$L$185,$K$3,$G$40:$G$185,E4)</f>
        <v>2</v>
      </c>
      <c r="L4" s="12">
        <f t="shared" ref="L4:L24" si="3">COUNTIFS($L$40:$L$185,$L$3,$G$40:$G$185,E4)</f>
        <v>3</v>
      </c>
      <c r="M4" s="12">
        <f t="shared" ref="M4:M24" si="4">COUNTIFS($L$40:$L$185,$M$3,$G$40:$G$185,E4)</f>
        <v>2</v>
      </c>
      <c r="N4" s="12">
        <f t="shared" ref="N4:N24" si="5">COUNTIFS($L$40:$L$185,$N$3,$G$40:$G$185,E4)</f>
        <v>0</v>
      </c>
      <c r="O4" s="12">
        <f t="shared" ref="O4:O24" si="6">COUNTIFS($L$40:$L$185,$O$3,$G$40:$G$185,E4)</f>
        <v>0</v>
      </c>
      <c r="Q4" s="10" t="s">
        <v>306</v>
      </c>
      <c r="R4">
        <v>20</v>
      </c>
      <c r="S4">
        <v>45</v>
      </c>
      <c r="U4" s="24" t="s">
        <v>11</v>
      </c>
      <c r="V4" s="12">
        <v>2</v>
      </c>
      <c r="W4" s="12">
        <v>2</v>
      </c>
      <c r="X4" s="12">
        <v>3</v>
      </c>
      <c r="Y4" s="12">
        <v>2</v>
      </c>
      <c r="Z4" s="12">
        <v>0</v>
      </c>
      <c r="AA4" s="12">
        <v>0</v>
      </c>
    </row>
    <row r="5" spans="2:27" x14ac:dyDescent="0.3">
      <c r="B5" s="5" t="s">
        <v>293</v>
      </c>
      <c r="C5" s="31">
        <f>SUMIF($I$4:$I$24,C3,$H$4:$H$24)</f>
        <v>9000</v>
      </c>
      <c r="E5" s="38" t="s">
        <v>5</v>
      </c>
      <c r="F5" s="39">
        <v>5</v>
      </c>
      <c r="G5" s="38">
        <f t="shared" si="0"/>
        <v>14</v>
      </c>
      <c r="H5" s="27">
        <v>4000</v>
      </c>
      <c r="I5" s="25" t="s">
        <v>305</v>
      </c>
      <c r="J5" s="12">
        <f t="shared" si="1"/>
        <v>3</v>
      </c>
      <c r="K5" s="12">
        <f t="shared" si="2"/>
        <v>1</v>
      </c>
      <c r="L5" s="12">
        <f t="shared" si="3"/>
        <v>4</v>
      </c>
      <c r="M5" s="12">
        <f t="shared" si="4"/>
        <v>3</v>
      </c>
      <c r="N5" s="12">
        <f t="shared" si="5"/>
        <v>3</v>
      </c>
      <c r="O5" s="12">
        <f t="shared" si="6"/>
        <v>0</v>
      </c>
      <c r="Q5" s="10" t="s">
        <v>282</v>
      </c>
      <c r="R5">
        <v>146</v>
      </c>
      <c r="S5">
        <v>380</v>
      </c>
      <c r="U5" s="24" t="s">
        <v>5</v>
      </c>
      <c r="V5" s="12">
        <v>3</v>
      </c>
      <c r="W5" s="12">
        <v>1</v>
      </c>
      <c r="X5" s="12">
        <v>4</v>
      </c>
      <c r="Y5" s="12">
        <v>3</v>
      </c>
      <c r="Z5" s="12">
        <v>3</v>
      </c>
      <c r="AA5" s="12">
        <v>0</v>
      </c>
    </row>
    <row r="6" spans="2:27" x14ac:dyDescent="0.3">
      <c r="B6" s="5" t="s">
        <v>290</v>
      </c>
      <c r="C6" s="30">
        <f>SUMIF($I$4:$I$24,$C$3,$G$4:$G$24)</f>
        <v>20</v>
      </c>
      <c r="E6" s="24" t="s">
        <v>61</v>
      </c>
      <c r="F6" s="12">
        <v>30</v>
      </c>
      <c r="G6" s="24">
        <f t="shared" si="0"/>
        <v>4</v>
      </c>
      <c r="H6" s="27">
        <v>2000</v>
      </c>
      <c r="I6" s="25" t="s">
        <v>305</v>
      </c>
      <c r="J6" s="12">
        <f t="shared" si="1"/>
        <v>1</v>
      </c>
      <c r="K6" s="12">
        <f t="shared" si="2"/>
        <v>0</v>
      </c>
      <c r="L6" s="12">
        <f t="shared" si="3"/>
        <v>1</v>
      </c>
      <c r="M6" s="12">
        <f t="shared" si="4"/>
        <v>2</v>
      </c>
      <c r="N6" s="12">
        <f t="shared" si="5"/>
        <v>0</v>
      </c>
      <c r="O6" s="12">
        <f t="shared" si="6"/>
        <v>0</v>
      </c>
      <c r="U6" s="24" t="s">
        <v>61</v>
      </c>
      <c r="V6" s="12">
        <v>1</v>
      </c>
      <c r="W6" s="12">
        <v>0</v>
      </c>
      <c r="X6" s="12">
        <v>1</v>
      </c>
      <c r="Y6" s="12">
        <v>2</v>
      </c>
      <c r="Z6" s="12">
        <v>0</v>
      </c>
      <c r="AA6" s="12">
        <v>0</v>
      </c>
    </row>
    <row r="7" spans="2:27" x14ac:dyDescent="0.3">
      <c r="B7" s="5" t="s">
        <v>292</v>
      </c>
      <c r="C7" s="5">
        <f>SUMIF($K$40:$K$185,$C$3,$J$40:$J$185)</f>
        <v>20</v>
      </c>
      <c r="E7" s="24" t="s">
        <v>65</v>
      </c>
      <c r="F7" s="12">
        <v>25</v>
      </c>
      <c r="G7" s="24">
        <f t="shared" si="0"/>
        <v>6</v>
      </c>
      <c r="H7" s="27">
        <v>6000</v>
      </c>
      <c r="I7" s="25" t="s">
        <v>305</v>
      </c>
      <c r="J7" s="12">
        <f t="shared" si="1"/>
        <v>1</v>
      </c>
      <c r="K7" s="12">
        <f t="shared" si="2"/>
        <v>1</v>
      </c>
      <c r="L7" s="12">
        <f t="shared" si="3"/>
        <v>2</v>
      </c>
      <c r="M7" s="12">
        <f t="shared" si="4"/>
        <v>1</v>
      </c>
      <c r="N7" s="12">
        <f t="shared" si="5"/>
        <v>1</v>
      </c>
      <c r="O7" s="12">
        <f t="shared" si="6"/>
        <v>0</v>
      </c>
      <c r="U7" s="24" t="s">
        <v>65</v>
      </c>
      <c r="V7" s="12">
        <v>1</v>
      </c>
      <c r="W7" s="12">
        <v>1</v>
      </c>
      <c r="X7" s="12">
        <v>2</v>
      </c>
      <c r="Y7" s="12">
        <v>1</v>
      </c>
      <c r="Z7" s="12">
        <v>1</v>
      </c>
      <c r="AA7" s="12">
        <v>0</v>
      </c>
    </row>
    <row r="8" spans="2:27" x14ac:dyDescent="0.3">
      <c r="B8" s="5" t="s">
        <v>303</v>
      </c>
      <c r="C8" s="5">
        <f>SUMIF($I$4:$I$24,$C$3,$G$4:$G$24)</f>
        <v>20</v>
      </c>
      <c r="E8" s="24" t="s">
        <v>29</v>
      </c>
      <c r="F8" s="12">
        <v>20</v>
      </c>
      <c r="G8" s="24">
        <f t="shared" si="0"/>
        <v>7</v>
      </c>
      <c r="H8" s="27">
        <v>7000</v>
      </c>
      <c r="I8" s="25" t="s">
        <v>305</v>
      </c>
      <c r="J8" s="12">
        <f t="shared" si="1"/>
        <v>2</v>
      </c>
      <c r="K8" s="12">
        <f t="shared" si="2"/>
        <v>2</v>
      </c>
      <c r="L8" s="12">
        <f t="shared" si="3"/>
        <v>0</v>
      </c>
      <c r="M8" s="12">
        <f t="shared" si="4"/>
        <v>2</v>
      </c>
      <c r="N8" s="12">
        <f t="shared" si="5"/>
        <v>1</v>
      </c>
      <c r="O8" s="12">
        <f t="shared" si="6"/>
        <v>0</v>
      </c>
      <c r="U8" s="24" t="s">
        <v>29</v>
      </c>
      <c r="V8" s="12">
        <v>2</v>
      </c>
      <c r="W8" s="12">
        <v>2</v>
      </c>
      <c r="X8" s="12">
        <v>0</v>
      </c>
      <c r="Y8" s="12">
        <v>2</v>
      </c>
      <c r="Z8" s="12">
        <v>1</v>
      </c>
      <c r="AA8" s="12">
        <v>0</v>
      </c>
    </row>
    <row r="9" spans="2:27" x14ac:dyDescent="0.3">
      <c r="B9" s="5" t="s">
        <v>310</v>
      </c>
      <c r="C9" s="5">
        <f>SUMIF($I$4:$I$24,$C$3,$F$4:$F$24)</f>
        <v>45</v>
      </c>
      <c r="E9" s="24" t="s">
        <v>56</v>
      </c>
      <c r="F9" s="12">
        <v>5</v>
      </c>
      <c r="G9" s="24">
        <f t="shared" si="0"/>
        <v>4</v>
      </c>
      <c r="H9" s="27">
        <v>2000</v>
      </c>
      <c r="I9" s="25" t="s">
        <v>305</v>
      </c>
      <c r="J9" s="12">
        <f t="shared" si="1"/>
        <v>1</v>
      </c>
      <c r="K9" s="12">
        <f t="shared" si="2"/>
        <v>1</v>
      </c>
      <c r="L9" s="12">
        <f t="shared" si="3"/>
        <v>1</v>
      </c>
      <c r="M9" s="12">
        <f t="shared" si="4"/>
        <v>0</v>
      </c>
      <c r="N9" s="12">
        <f t="shared" si="5"/>
        <v>1</v>
      </c>
      <c r="O9" s="12">
        <f t="shared" si="6"/>
        <v>0</v>
      </c>
      <c r="U9" s="24" t="s">
        <v>56</v>
      </c>
      <c r="V9" s="12">
        <v>1</v>
      </c>
      <c r="W9" s="12">
        <v>1</v>
      </c>
      <c r="X9" s="12">
        <v>1</v>
      </c>
      <c r="Y9" s="12">
        <v>0</v>
      </c>
      <c r="Z9" s="12">
        <v>1</v>
      </c>
      <c r="AA9" s="12">
        <v>0</v>
      </c>
    </row>
    <row r="10" spans="2:27" x14ac:dyDescent="0.3">
      <c r="B10" s="5" t="s">
        <v>311</v>
      </c>
      <c r="C10" s="32">
        <f>C8/C9</f>
        <v>0.44444444444444442</v>
      </c>
      <c r="E10" s="24" t="s">
        <v>50</v>
      </c>
      <c r="F10" s="12">
        <v>25</v>
      </c>
      <c r="G10" s="24">
        <f t="shared" si="0"/>
        <v>2</v>
      </c>
      <c r="H10" s="27">
        <v>2000</v>
      </c>
      <c r="I10" s="25" t="s">
        <v>305</v>
      </c>
      <c r="J10" s="12">
        <f t="shared" si="1"/>
        <v>0</v>
      </c>
      <c r="K10" s="12">
        <f t="shared" si="2"/>
        <v>0</v>
      </c>
      <c r="L10" s="12">
        <f t="shared" si="3"/>
        <v>1</v>
      </c>
      <c r="M10" s="12">
        <f t="shared" si="4"/>
        <v>1</v>
      </c>
      <c r="N10" s="12">
        <f t="shared" si="5"/>
        <v>0</v>
      </c>
      <c r="O10" s="12">
        <f t="shared" si="6"/>
        <v>0</v>
      </c>
      <c r="U10" s="24" t="s">
        <v>50</v>
      </c>
      <c r="V10" s="12">
        <v>0</v>
      </c>
      <c r="W10" s="12">
        <v>0</v>
      </c>
      <c r="X10" s="12">
        <v>1</v>
      </c>
      <c r="Y10" s="12">
        <v>1</v>
      </c>
      <c r="Z10" s="12">
        <v>0</v>
      </c>
      <c r="AA10" s="12">
        <v>0</v>
      </c>
    </row>
    <row r="11" spans="2:27" x14ac:dyDescent="0.3">
      <c r="B11" s="48" t="s">
        <v>320</v>
      </c>
      <c r="C11" s="49">
        <f>IF(C3=2015,0,
IF(C3=2016,($C$13-$C$12)/$C$13,0))</f>
        <v>0.74285714285714288</v>
      </c>
      <c r="E11" s="35" t="s">
        <v>59</v>
      </c>
      <c r="F11" s="37">
        <v>15</v>
      </c>
      <c r="G11" s="35">
        <f t="shared" si="0"/>
        <v>10</v>
      </c>
      <c r="H11" s="27">
        <v>2000</v>
      </c>
      <c r="I11" s="25" t="s">
        <v>305</v>
      </c>
      <c r="J11" s="12">
        <f t="shared" si="1"/>
        <v>3</v>
      </c>
      <c r="K11" s="12">
        <f t="shared" si="2"/>
        <v>2</v>
      </c>
      <c r="L11" s="12">
        <f t="shared" si="3"/>
        <v>3</v>
      </c>
      <c r="M11" s="12">
        <f t="shared" si="4"/>
        <v>0</v>
      </c>
      <c r="N11" s="12">
        <f t="shared" si="5"/>
        <v>2</v>
      </c>
      <c r="O11" s="12">
        <f t="shared" si="6"/>
        <v>0</v>
      </c>
      <c r="U11" s="24" t="s">
        <v>59</v>
      </c>
      <c r="V11" s="12">
        <v>3</v>
      </c>
      <c r="W11" s="12">
        <v>2</v>
      </c>
      <c r="X11" s="12">
        <v>3</v>
      </c>
      <c r="Y11" s="12">
        <v>0</v>
      </c>
      <c r="Z11" s="12">
        <v>2</v>
      </c>
      <c r="AA11" s="12">
        <v>0</v>
      </c>
    </row>
    <row r="12" spans="2:27" x14ac:dyDescent="0.3">
      <c r="B12" s="5" t="s">
        <v>321</v>
      </c>
      <c r="C12" s="45">
        <f>C5</f>
        <v>9000</v>
      </c>
      <c r="E12" s="35" t="s">
        <v>52</v>
      </c>
      <c r="F12" s="37">
        <v>15</v>
      </c>
      <c r="G12" s="35">
        <f t="shared" si="0"/>
        <v>9</v>
      </c>
      <c r="H12" s="27">
        <v>3000</v>
      </c>
      <c r="I12" s="25" t="s">
        <v>305</v>
      </c>
      <c r="J12" s="12">
        <f t="shared" si="1"/>
        <v>4</v>
      </c>
      <c r="K12" s="12">
        <f t="shared" si="2"/>
        <v>1</v>
      </c>
      <c r="L12" s="12">
        <f t="shared" si="3"/>
        <v>1</v>
      </c>
      <c r="M12" s="12">
        <f t="shared" si="4"/>
        <v>2</v>
      </c>
      <c r="N12" s="12">
        <f t="shared" si="5"/>
        <v>1</v>
      </c>
      <c r="O12" s="12">
        <f t="shared" si="6"/>
        <v>0</v>
      </c>
      <c r="U12" s="24" t="s">
        <v>52</v>
      </c>
      <c r="V12" s="12">
        <v>4</v>
      </c>
      <c r="W12" s="12">
        <v>1</v>
      </c>
      <c r="X12" s="12">
        <v>1</v>
      </c>
      <c r="Y12" s="12">
        <v>2</v>
      </c>
      <c r="Z12" s="12">
        <v>1</v>
      </c>
      <c r="AA12" s="12">
        <v>0</v>
      </c>
    </row>
    <row r="13" spans="2:27" x14ac:dyDescent="0.3">
      <c r="B13" s="5" t="s">
        <v>322</v>
      </c>
      <c r="C13" s="45">
        <v>35000</v>
      </c>
      <c r="E13" s="24" t="s">
        <v>16</v>
      </c>
      <c r="F13" s="12">
        <v>5</v>
      </c>
      <c r="G13" s="24">
        <f t="shared" si="0"/>
        <v>5</v>
      </c>
      <c r="H13" s="27">
        <v>7000</v>
      </c>
      <c r="I13" s="25" t="s">
        <v>305</v>
      </c>
      <c r="J13" s="12">
        <f t="shared" si="1"/>
        <v>0</v>
      </c>
      <c r="K13" s="12">
        <f t="shared" si="2"/>
        <v>1</v>
      </c>
      <c r="L13" s="12">
        <f t="shared" si="3"/>
        <v>1</v>
      </c>
      <c r="M13" s="12">
        <f t="shared" si="4"/>
        <v>2</v>
      </c>
      <c r="N13" s="12">
        <f t="shared" si="5"/>
        <v>1</v>
      </c>
      <c r="O13" s="12">
        <f t="shared" si="6"/>
        <v>0</v>
      </c>
      <c r="U13" s="24" t="s">
        <v>16</v>
      </c>
      <c r="V13" s="12">
        <v>0</v>
      </c>
      <c r="W13" s="12">
        <v>1</v>
      </c>
      <c r="X13" s="12">
        <v>1</v>
      </c>
      <c r="Y13" s="12">
        <v>2</v>
      </c>
      <c r="Z13" s="12">
        <v>1</v>
      </c>
      <c r="AA13" s="12">
        <v>0</v>
      </c>
    </row>
    <row r="14" spans="2:27" x14ac:dyDescent="0.3">
      <c r="B14" s="48" t="s">
        <v>324</v>
      </c>
      <c r="C14" s="49">
        <f>IF(C3=2015,0,
IF(C3=2016,($C$16-$C$15)/$C$16,0))</f>
        <v>0.83333333333333337</v>
      </c>
      <c r="E14" s="35" t="s">
        <v>39</v>
      </c>
      <c r="F14" s="37">
        <v>20</v>
      </c>
      <c r="G14" s="35">
        <f t="shared" si="0"/>
        <v>9</v>
      </c>
      <c r="H14" s="27">
        <v>2000</v>
      </c>
      <c r="I14" s="25" t="s">
        <v>305</v>
      </c>
      <c r="J14" s="12">
        <f t="shared" si="1"/>
        <v>1</v>
      </c>
      <c r="K14" s="12">
        <f t="shared" si="2"/>
        <v>0</v>
      </c>
      <c r="L14" s="12">
        <f t="shared" si="3"/>
        <v>1</v>
      </c>
      <c r="M14" s="12">
        <f t="shared" si="4"/>
        <v>2</v>
      </c>
      <c r="N14" s="12">
        <f t="shared" si="5"/>
        <v>5</v>
      </c>
      <c r="O14" s="12">
        <f t="shared" si="6"/>
        <v>0</v>
      </c>
      <c r="U14" s="24" t="s">
        <v>39</v>
      </c>
      <c r="V14" s="12">
        <v>1</v>
      </c>
      <c r="W14" s="12">
        <v>0</v>
      </c>
      <c r="X14" s="12">
        <v>1</v>
      </c>
      <c r="Y14" s="12">
        <v>2</v>
      </c>
      <c r="Z14" s="12">
        <v>5</v>
      </c>
      <c r="AA14" s="12">
        <v>0</v>
      </c>
    </row>
    <row r="15" spans="2:27" x14ac:dyDescent="0.3">
      <c r="B15" s="5" t="s">
        <v>325</v>
      </c>
      <c r="C15" s="5">
        <v>20</v>
      </c>
      <c r="E15" s="35" t="s">
        <v>46</v>
      </c>
      <c r="F15" s="37">
        <v>30</v>
      </c>
      <c r="G15" s="35">
        <f t="shared" si="0"/>
        <v>9</v>
      </c>
      <c r="H15" s="27">
        <v>5000</v>
      </c>
      <c r="I15" s="25" t="s">
        <v>305</v>
      </c>
      <c r="J15" s="12">
        <f t="shared" si="1"/>
        <v>1</v>
      </c>
      <c r="K15" s="12">
        <f t="shared" si="2"/>
        <v>1</v>
      </c>
      <c r="L15" s="12">
        <f t="shared" si="3"/>
        <v>1</v>
      </c>
      <c r="M15" s="12">
        <f t="shared" si="4"/>
        <v>2</v>
      </c>
      <c r="N15" s="12">
        <f t="shared" si="5"/>
        <v>4</v>
      </c>
      <c r="O15" s="12">
        <f t="shared" si="6"/>
        <v>0</v>
      </c>
      <c r="U15" s="24" t="s">
        <v>46</v>
      </c>
      <c r="V15" s="12">
        <v>1</v>
      </c>
      <c r="W15" s="12">
        <v>1</v>
      </c>
      <c r="X15" s="12">
        <v>1</v>
      </c>
      <c r="Y15" s="12">
        <v>2</v>
      </c>
      <c r="Z15" s="12">
        <v>4</v>
      </c>
      <c r="AA15" s="12">
        <v>0</v>
      </c>
    </row>
    <row r="16" spans="2:27" x14ac:dyDescent="0.3">
      <c r="B16" s="5" t="s">
        <v>326</v>
      </c>
      <c r="C16" s="5">
        <v>120</v>
      </c>
      <c r="E16" s="24" t="s">
        <v>73</v>
      </c>
      <c r="F16" s="12">
        <v>30</v>
      </c>
      <c r="G16" s="24">
        <f t="shared" si="0"/>
        <v>5</v>
      </c>
      <c r="H16" s="27">
        <v>7000</v>
      </c>
      <c r="I16" s="25" t="s">
        <v>305</v>
      </c>
      <c r="J16" s="12">
        <f t="shared" si="1"/>
        <v>0</v>
      </c>
      <c r="K16" s="12">
        <f t="shared" si="2"/>
        <v>1</v>
      </c>
      <c r="L16" s="12">
        <f t="shared" si="3"/>
        <v>1</v>
      </c>
      <c r="M16" s="12">
        <f t="shared" si="4"/>
        <v>3</v>
      </c>
      <c r="N16" s="12">
        <f t="shared" si="5"/>
        <v>0</v>
      </c>
      <c r="O16" s="12">
        <f t="shared" si="6"/>
        <v>0</v>
      </c>
      <c r="U16" s="24" t="s">
        <v>73</v>
      </c>
      <c r="V16" s="12">
        <v>0</v>
      </c>
      <c r="W16" s="12">
        <v>1</v>
      </c>
      <c r="X16" s="12">
        <v>1</v>
      </c>
      <c r="Y16" s="12">
        <v>3</v>
      </c>
      <c r="Z16" s="12">
        <v>0</v>
      </c>
      <c r="AA16" s="12">
        <v>0</v>
      </c>
    </row>
    <row r="17" spans="2:27" x14ac:dyDescent="0.3">
      <c r="B17" s="48" t="s">
        <v>327</v>
      </c>
      <c r="C17" s="49">
        <f>IF(C3=2015,0,
IF(C3=2016,($C$19-$C$18)/$C$19,0))</f>
        <v>0.84</v>
      </c>
      <c r="E17" s="24" t="s">
        <v>31</v>
      </c>
      <c r="F17" s="12">
        <v>20</v>
      </c>
      <c r="G17" s="24">
        <f t="shared" si="0"/>
        <v>5</v>
      </c>
      <c r="H17" s="27">
        <v>6000</v>
      </c>
      <c r="I17" s="25" t="s">
        <v>305</v>
      </c>
      <c r="J17" s="12">
        <f t="shared" si="1"/>
        <v>2</v>
      </c>
      <c r="K17" s="12">
        <f t="shared" si="2"/>
        <v>1</v>
      </c>
      <c r="L17" s="12">
        <f t="shared" si="3"/>
        <v>1</v>
      </c>
      <c r="M17" s="12">
        <f t="shared" si="4"/>
        <v>0</v>
      </c>
      <c r="N17" s="12">
        <f t="shared" si="5"/>
        <v>1</v>
      </c>
      <c r="O17" s="12">
        <f t="shared" si="6"/>
        <v>0</v>
      </c>
      <c r="U17" s="24" t="s">
        <v>31</v>
      </c>
      <c r="V17" s="12">
        <v>2</v>
      </c>
      <c r="W17" s="12">
        <v>1</v>
      </c>
      <c r="X17" s="12">
        <v>1</v>
      </c>
      <c r="Y17" s="12">
        <v>0</v>
      </c>
      <c r="Z17" s="12">
        <v>1</v>
      </c>
      <c r="AA17" s="12">
        <v>0</v>
      </c>
    </row>
    <row r="18" spans="2:27" x14ac:dyDescent="0.3">
      <c r="B18" s="5" t="s">
        <v>328</v>
      </c>
      <c r="C18" s="5">
        <v>20</v>
      </c>
      <c r="E18" s="24" t="s">
        <v>19</v>
      </c>
      <c r="F18" s="12">
        <v>10</v>
      </c>
      <c r="G18" s="24">
        <f t="shared" si="0"/>
        <v>7</v>
      </c>
      <c r="H18" s="27">
        <v>7000</v>
      </c>
      <c r="I18" s="25" t="s">
        <v>305</v>
      </c>
      <c r="J18" s="12">
        <f t="shared" si="1"/>
        <v>1</v>
      </c>
      <c r="K18" s="12">
        <f t="shared" si="2"/>
        <v>0</v>
      </c>
      <c r="L18" s="12">
        <f t="shared" si="3"/>
        <v>1</v>
      </c>
      <c r="M18" s="12">
        <f t="shared" si="4"/>
        <v>3</v>
      </c>
      <c r="N18" s="12">
        <f t="shared" si="5"/>
        <v>2</v>
      </c>
      <c r="O18" s="12">
        <f t="shared" si="6"/>
        <v>0</v>
      </c>
      <c r="U18" s="24" t="s">
        <v>19</v>
      </c>
      <c r="V18" s="12">
        <v>1</v>
      </c>
      <c r="W18" s="12">
        <v>0</v>
      </c>
      <c r="X18" s="12">
        <v>1</v>
      </c>
      <c r="Y18" s="12">
        <v>3</v>
      </c>
      <c r="Z18" s="12">
        <v>2</v>
      </c>
      <c r="AA18" s="12">
        <v>0</v>
      </c>
    </row>
    <row r="19" spans="2:27" x14ac:dyDescent="0.3">
      <c r="B19" s="5" t="s">
        <v>329</v>
      </c>
      <c r="C19" s="5">
        <v>125</v>
      </c>
      <c r="E19" s="38" t="s">
        <v>54</v>
      </c>
      <c r="F19" s="39">
        <v>5</v>
      </c>
      <c r="G19" s="38">
        <f>COUNTIFS($G$40:$G$185,E19,$H$40:$H$185,$H$40)</f>
        <v>7</v>
      </c>
      <c r="H19" s="27">
        <v>5000</v>
      </c>
      <c r="I19" s="25" t="s">
        <v>305</v>
      </c>
      <c r="J19" s="12">
        <f t="shared" si="1"/>
        <v>2</v>
      </c>
      <c r="K19" s="12">
        <f t="shared" si="2"/>
        <v>2</v>
      </c>
      <c r="L19" s="12">
        <f t="shared" si="3"/>
        <v>1</v>
      </c>
      <c r="M19" s="12">
        <f t="shared" si="4"/>
        <v>1</v>
      </c>
      <c r="N19" s="12">
        <f t="shared" si="5"/>
        <v>2</v>
      </c>
      <c r="O19" s="12">
        <f t="shared" si="6"/>
        <v>0</v>
      </c>
      <c r="U19" s="24" t="s">
        <v>54</v>
      </c>
      <c r="V19" s="12">
        <v>2</v>
      </c>
      <c r="W19" s="12">
        <v>2</v>
      </c>
      <c r="X19" s="12">
        <v>1</v>
      </c>
      <c r="Y19" s="12">
        <v>1</v>
      </c>
      <c r="Z19" s="12">
        <v>2</v>
      </c>
      <c r="AA19" s="12">
        <v>0</v>
      </c>
    </row>
    <row r="20" spans="2:27" x14ac:dyDescent="0.3">
      <c r="B20" s="48" t="s">
        <v>330</v>
      </c>
      <c r="C20" s="49">
        <f>IF(C3=2015,0,
IF(C3=2016,($C$22-$C$21),0))</f>
        <v>-7.130000000000003E-2</v>
      </c>
      <c r="E20" s="24" t="s">
        <v>26</v>
      </c>
      <c r="F20" s="12">
        <v>30</v>
      </c>
      <c r="G20" s="24">
        <f>COUNTIF($G$40:$G$185,E20)</f>
        <v>6</v>
      </c>
      <c r="H20" s="27">
        <v>5000</v>
      </c>
      <c r="I20" s="25" t="s">
        <v>305</v>
      </c>
      <c r="J20" s="12">
        <f t="shared" si="1"/>
        <v>0</v>
      </c>
      <c r="K20" s="12">
        <f t="shared" si="2"/>
        <v>0</v>
      </c>
      <c r="L20" s="12">
        <f t="shared" si="3"/>
        <v>0</v>
      </c>
      <c r="M20" s="12">
        <f t="shared" si="4"/>
        <v>0</v>
      </c>
      <c r="N20" s="12">
        <f t="shared" si="5"/>
        <v>0</v>
      </c>
      <c r="O20" s="12">
        <f t="shared" si="6"/>
        <v>6</v>
      </c>
      <c r="U20" s="24" t="s">
        <v>26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6</v>
      </c>
    </row>
    <row r="21" spans="2:27" x14ac:dyDescent="0.3">
      <c r="B21" s="5" t="s">
        <v>331</v>
      </c>
      <c r="C21" s="32">
        <v>0.44440000000000002</v>
      </c>
      <c r="E21" s="24" t="s">
        <v>14</v>
      </c>
      <c r="F21" s="12">
        <v>15</v>
      </c>
      <c r="G21" s="24">
        <f>COUNTIF($G$40:$G$185,E21)</f>
        <v>6</v>
      </c>
      <c r="H21" s="27">
        <v>3000</v>
      </c>
      <c r="I21" s="25" t="s">
        <v>305</v>
      </c>
      <c r="J21" s="12">
        <f t="shared" si="1"/>
        <v>0</v>
      </c>
      <c r="K21" s="12">
        <f t="shared" si="2"/>
        <v>0</v>
      </c>
      <c r="L21" s="12">
        <f t="shared" si="3"/>
        <v>0</v>
      </c>
      <c r="M21" s="12">
        <f t="shared" si="4"/>
        <v>0</v>
      </c>
      <c r="N21" s="12">
        <f t="shared" si="5"/>
        <v>0</v>
      </c>
      <c r="O21" s="12">
        <f t="shared" si="6"/>
        <v>6</v>
      </c>
      <c r="U21" s="24" t="s">
        <v>14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6</v>
      </c>
    </row>
    <row r="22" spans="2:27" x14ac:dyDescent="0.3">
      <c r="B22" s="5" t="s">
        <v>332</v>
      </c>
      <c r="C22" s="32">
        <v>0.37309999999999999</v>
      </c>
      <c r="E22" s="35" t="s">
        <v>76</v>
      </c>
      <c r="F22" s="37">
        <v>20</v>
      </c>
      <c r="G22" s="35">
        <f>COUNTIF($G$40:$G$185,E22)</f>
        <v>1</v>
      </c>
      <c r="H22" s="27">
        <v>3000</v>
      </c>
      <c r="I22" s="25" t="s">
        <v>305</v>
      </c>
      <c r="J22" s="12">
        <f t="shared" si="1"/>
        <v>0</v>
      </c>
      <c r="K22" s="12">
        <f t="shared" si="2"/>
        <v>0</v>
      </c>
      <c r="L22" s="12">
        <f t="shared" si="3"/>
        <v>0</v>
      </c>
      <c r="M22" s="12">
        <f t="shared" si="4"/>
        <v>0</v>
      </c>
      <c r="N22" s="12">
        <f t="shared" si="5"/>
        <v>0</v>
      </c>
      <c r="O22" s="12">
        <f t="shared" si="6"/>
        <v>1</v>
      </c>
      <c r="U22" s="24" t="s">
        <v>76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1</v>
      </c>
    </row>
    <row r="23" spans="2:27" x14ac:dyDescent="0.3">
      <c r="E23" s="35" t="s">
        <v>23</v>
      </c>
      <c r="F23" s="37">
        <v>30</v>
      </c>
      <c r="G23" s="35">
        <f>COUNTIF($G$40:$G$185,E23)</f>
        <v>9</v>
      </c>
      <c r="H23" s="27">
        <v>3000</v>
      </c>
      <c r="I23" s="25" t="s">
        <v>306</v>
      </c>
      <c r="J23" s="12">
        <f t="shared" si="1"/>
        <v>0</v>
      </c>
      <c r="K23" s="12">
        <f t="shared" si="2"/>
        <v>0</v>
      </c>
      <c r="L23" s="12">
        <f t="shared" si="3"/>
        <v>0</v>
      </c>
      <c r="M23" s="12">
        <f t="shared" si="4"/>
        <v>0</v>
      </c>
      <c r="N23" s="12">
        <f t="shared" si="5"/>
        <v>0</v>
      </c>
      <c r="O23" s="12">
        <f t="shared" si="6"/>
        <v>9</v>
      </c>
      <c r="U23" s="24" t="s">
        <v>23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9</v>
      </c>
    </row>
    <row r="24" spans="2:27" x14ac:dyDescent="0.3">
      <c r="B24" s="75" t="s">
        <v>343</v>
      </c>
      <c r="E24" s="24" t="s">
        <v>9</v>
      </c>
      <c r="F24" s="12">
        <v>15</v>
      </c>
      <c r="G24" s="24">
        <f>COUNTIF($G$40:$G$185,E24)</f>
        <v>11</v>
      </c>
      <c r="H24" s="27">
        <v>6000</v>
      </c>
      <c r="I24" s="25" t="s">
        <v>306</v>
      </c>
      <c r="J24" s="12">
        <f t="shared" si="1"/>
        <v>0</v>
      </c>
      <c r="K24" s="12">
        <f t="shared" si="2"/>
        <v>0</v>
      </c>
      <c r="L24" s="12">
        <f t="shared" si="3"/>
        <v>0</v>
      </c>
      <c r="M24" s="12">
        <f t="shared" si="4"/>
        <v>0</v>
      </c>
      <c r="N24" s="12">
        <f t="shared" si="5"/>
        <v>0</v>
      </c>
      <c r="O24" s="12">
        <f t="shared" si="6"/>
        <v>11</v>
      </c>
      <c r="U24" s="24" t="s">
        <v>9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11</v>
      </c>
    </row>
    <row r="25" spans="2:27" x14ac:dyDescent="0.3">
      <c r="B25" s="67" t="s">
        <v>344</v>
      </c>
    </row>
    <row r="26" spans="2:27" x14ac:dyDescent="0.3">
      <c r="B26" s="74">
        <f>$C$3</f>
        <v>2016</v>
      </c>
    </row>
    <row r="27" spans="2:27" x14ac:dyDescent="0.3">
      <c r="B27" s="67" t="s">
        <v>345</v>
      </c>
      <c r="F27" s="71"/>
      <c r="G27" s="17" t="s">
        <v>341</v>
      </c>
    </row>
    <row r="28" spans="2:27" x14ac:dyDescent="0.3">
      <c r="B28" s="67" t="s">
        <v>347</v>
      </c>
      <c r="F28" s="72"/>
      <c r="G28" s="17" t="s">
        <v>340</v>
      </c>
    </row>
    <row r="29" spans="2:27" x14ac:dyDescent="0.3">
      <c r="B29" s="74">
        <f>$C$7</f>
        <v>20</v>
      </c>
    </row>
    <row r="30" spans="2:27" ht="16.5" customHeight="1" x14ac:dyDescent="0.3">
      <c r="B30" s="67" t="s">
        <v>346</v>
      </c>
    </row>
    <row r="31" spans="2:27" x14ac:dyDescent="0.3">
      <c r="B31" s="74">
        <f>$C$8</f>
        <v>20</v>
      </c>
      <c r="C31" s="67" t="s">
        <v>348</v>
      </c>
    </row>
    <row r="32" spans="2:27" x14ac:dyDescent="0.3">
      <c r="B32" s="67" t="s">
        <v>349</v>
      </c>
    </row>
    <row r="33" spans="2:22" x14ac:dyDescent="0.3">
      <c r="B33" s="76">
        <f>$C$10</f>
        <v>0.44444444444444442</v>
      </c>
    </row>
    <row r="34" spans="2:22" x14ac:dyDescent="0.3">
      <c r="B34" s="67" t="s">
        <v>353</v>
      </c>
      <c r="C34" t="s">
        <v>354</v>
      </c>
      <c r="D34" s="78">
        <f>$C$5</f>
        <v>9000</v>
      </c>
      <c r="E34" t="s">
        <v>352</v>
      </c>
    </row>
    <row r="36" spans="2:22" x14ac:dyDescent="0.3">
      <c r="B36" s="77" t="str">
        <f>CONCATENATE(B25,B26,B27,B28,B29,B30,B31,C31,B32,TEXT(B33,"0.00%"),B34,C34,TEXT(D34,"#,#"),E34)</f>
        <v>As of FYE 2016, the Total Training Hours is 20, participated by 20 employees from different departments with 44.44% Occupancy Rate. Accumulated cost is equal to 9,000.</v>
      </c>
    </row>
    <row r="37" spans="2:22" x14ac:dyDescent="0.3">
      <c r="B37" s="67"/>
    </row>
    <row r="38" spans="2:22" x14ac:dyDescent="0.3">
      <c r="B38" s="79" t="s">
        <v>298</v>
      </c>
      <c r="C38" s="80"/>
      <c r="D38" s="81"/>
      <c r="F38" s="84" t="s">
        <v>297</v>
      </c>
      <c r="G38" s="84"/>
      <c r="H38" s="84"/>
      <c r="I38" s="84"/>
      <c r="J38" s="84"/>
      <c r="K38" s="84"/>
      <c r="L38" s="84"/>
      <c r="O38" s="84" t="s">
        <v>296</v>
      </c>
      <c r="P38" s="84"/>
      <c r="Q38" s="84"/>
      <c r="R38" s="84"/>
      <c r="S38" s="84"/>
      <c r="T38" s="84"/>
      <c r="U38" s="84"/>
      <c r="V38" s="84"/>
    </row>
    <row r="39" spans="2:22" x14ac:dyDescent="0.3">
      <c r="B39" s="3" t="s">
        <v>100</v>
      </c>
      <c r="C39" s="3"/>
      <c r="D39" s="3" t="s">
        <v>138</v>
      </c>
      <c r="F39" s="6" t="s">
        <v>0</v>
      </c>
      <c r="G39" s="6" t="s">
        <v>1</v>
      </c>
      <c r="H39" s="6" t="s">
        <v>2</v>
      </c>
      <c r="I39" s="6" t="s">
        <v>294</v>
      </c>
      <c r="J39" s="23" t="s">
        <v>300</v>
      </c>
      <c r="K39" s="6" t="s">
        <v>299</v>
      </c>
      <c r="L39" s="6" t="s">
        <v>3</v>
      </c>
      <c r="O39" s="3" t="s">
        <v>100</v>
      </c>
      <c r="P39" s="3" t="s">
        <v>101</v>
      </c>
      <c r="Q39" s="3" t="s">
        <v>102</v>
      </c>
      <c r="R39" s="3" t="s">
        <v>103</v>
      </c>
      <c r="S39" s="3" t="s">
        <v>295</v>
      </c>
      <c r="T39" s="3" t="s">
        <v>104</v>
      </c>
      <c r="U39" s="3" t="s">
        <v>105</v>
      </c>
      <c r="V39" s="3" t="s">
        <v>106</v>
      </c>
    </row>
    <row r="40" spans="2:22" x14ac:dyDescent="0.3">
      <c r="B40" s="2" t="s">
        <v>139</v>
      </c>
      <c r="C40" s="2" t="s">
        <v>30</v>
      </c>
      <c r="D40" s="2" t="s">
        <v>140</v>
      </c>
      <c r="F40" s="5" t="s">
        <v>30</v>
      </c>
      <c r="G40" s="5" t="s">
        <v>31</v>
      </c>
      <c r="H40" s="5" t="s">
        <v>6</v>
      </c>
      <c r="I40" s="20" t="str">
        <f>IF(F40=$C$40,$D$40,
IF(F40=$C$41,$D$41,
IF(F40=$C$42,$D$42,
IF(F40=$C$43,$D$43,
IF(F40=$C$44,$D$44,
IF(F40=$C$45,$D$45,
IF(F40=$C$46,$D$46,
IF(F40=$C$47,$D$47,
IF(F40=$C$48,$D$48,
IF(F40=$C$49,$D$49,
IF(F40=$C$50,$D$50,
IF(F40=$C$51,$D$51,
IF(F40=$C$52,$D$52,
IF(F40=$C$53,$D$53,
IF(F40=$C$54,$D$54,
IF(F40=$C$55,$D$55,
IF(F40=$C$56,$D$56,
IF(F40=$C$57,$D$57,
IF(F40=$C$58,$D$58,
IF(F40=$C$59,$D$59,
IF(F40=$C$60,$D$60,
IF(F40=$C$61,$D$61,
IF(F40=$C$62,$D$62,
IF(F40=$C$63,$D$63,
IF(F40=$C$64,$D$64,
IF(F40=$C$65,$D$65,
IF(F40=$C$66,$D$66,
IF(F40=$C$67,$D$67,
IF(F40=$C$68,$D$68,
IF(F40=$C$69,$D$69,
IF(F40=$C$70,$D$70,
IF(F40=$C$71,$D$71,
IF(F40=$C$72,$D$72,
IF(F40=$C$73,$D$73,
IF(F40=$C$74,$D$74,
IF(F40=$C$75,$D$75,
IF(F40=$C$76,$D$76,
IF(F40=$C$77,$D$77,
IF(F40=$C$78,$D$78,
IF(F40=$C$79,$D$79,
IF(F40=$C$80,$D$80,
IF(F40=$C$81,$D$81,
IF(F40=$C$82,$D$82,
IF(F40=$C$83,$D$83,
IF(F40=$C$84,$D$84,
IF(F40=$C$85,$D$85,
IF(F40=$C$86,$D$86,
IF(F40=$C$87,$D$87,
IF(F40=$C$88,$D$88,
IF(F40=$C$89,$D$89,
IF(F40=$C$90,$D$90,
IF(F40=$C$91,$D$91,
IF(F40=$C$92,$D$92,
IF(F40=$C$93,$D$93,
IF(F40=$C$94,$D$94,
IF(F40=$C$95,$D$95,
IF(F40=$C$96,$D$96,
IF(F40=$C$97,$D$97,
IF(F40=$C$98,$D$98,
IF(F40=$C$99,$D$99,
IF(F40=C100,D100,
IF(F40=C101,D101,
IF(F40=C102,D102,
IF(F40=C103,D103,
IF(F40=C104,D104,
"No Department")))))))))))))))))))))))))))))))))))))))))))))))))))))))))))))))))</f>
        <v>Finance</v>
      </c>
      <c r="J40" s="12">
        <f t="shared" ref="J40:J71" si="7">IF(G40=$P$40,$T$40,
IF(G40=$P$41,$T$41,
IF(G40=$P$42,$T$42,
IF(G40=$P$43,$T$43,
IF(G40=$P$44,$T$44,
IF(G40=$P$45,$T$45,
IF(G40=$P$46,$T$46,
IF(G40=$P$47,$T$47,
IF(G40=$P$48,$T$48,
IF(G40=$P$49,$T$49,
IF(G40=$P$50,$T$50,
IF(G40=$P$51,$T$51,
IF(G40=$P$52,$T$52,
IF(G40=$P$53,$T$53,
IF(G40=$P$54,$T$54,
IF(G40=$P$55,$T$55,
IF(G40=$P$56,$T$56,
IF(G40=$P$57,$T$57,
IF(G40=$P$58,$T$58,
IF(G40=$P$59,$T$59,
IF(G40=$P$60,$T$60,
"no info")))))))))))))))))))))</f>
        <v>1</v>
      </c>
      <c r="K40" s="20" t="str">
        <f t="shared" ref="K40:K71" si="8">IF((OR($P$40=G40,$P$41=G40,$P$42=G40,$P$43=G40,$P$44=G40,$P$45=G40,$P$46=G40,$P$47=G40,$P$48=G40,$P$49=G40,$P$50=G40,$P$51=G40,$P$52=G40,$P$53=G40,$P$54=G40,$P$55=G40,$P$56=G40,$P$57=G40,$P$58=G40)),$S$40,"2016")</f>
        <v>2015</v>
      </c>
      <c r="L40" s="5" t="s">
        <v>32</v>
      </c>
      <c r="N40" s="26"/>
      <c r="O40" s="2" t="s">
        <v>107</v>
      </c>
      <c r="P40" s="2" t="s">
        <v>11</v>
      </c>
      <c r="Q40" s="2" t="s">
        <v>108</v>
      </c>
      <c r="R40" s="16">
        <v>42009</v>
      </c>
      <c r="S40" s="19" t="str">
        <f>TEXT(R40,"yyyy")</f>
        <v>2015</v>
      </c>
      <c r="T40" s="41">
        <v>1</v>
      </c>
      <c r="U40" s="41">
        <v>10</v>
      </c>
      <c r="V40" s="41">
        <v>5000</v>
      </c>
    </row>
    <row r="41" spans="2:22" x14ac:dyDescent="0.3">
      <c r="B41" s="2" t="s">
        <v>141</v>
      </c>
      <c r="C41" s="2" t="s">
        <v>8</v>
      </c>
      <c r="D41" s="2" t="s">
        <v>142</v>
      </c>
      <c r="F41" s="5" t="s">
        <v>30</v>
      </c>
      <c r="G41" s="5" t="s">
        <v>56</v>
      </c>
      <c r="H41" s="5" t="s">
        <v>6</v>
      </c>
      <c r="I41" s="20" t="str">
        <f t="shared" ref="I41:I72" si="9">IF(F41=$C$40,$D$40,
IF(F41=$C$41,$D$41,
IF(F41=$C$42,$D$42,
IF(F41=$C$43,$D$43,
IF(F41=$C$44,$D$44,
IF(F41=$C$45,$D$45,
IF(F41=$C$46,$D$46,
IF(F41=$C$47,$D$47,
IF(F41=$C$48,$D$48,
IF(F41=$C$49,$D$49,
IF(F41=$C$50,$D$50,
IF(F41=$C$51,$D$51,
IF(F41=$C$52,$D$52,
IF(F41=$C$53,$D$53,
IF(F41=$C$54,$D$54,
IF(F41=$C$55,$D$55,
IF(F41=$C$56,$D$56,
IF(F41=$C$57,$D$57,
IF(F41=$C$58,$D$58,
IF(F41=$C$59,$D$59,
IF(F41=$C$60,$D$60,
IF(F41=$C$61,$D$61,
IF(F41=$C$62,$D$62,
IF(F41=$C$63,$D$63,
IF(F41=$C$64,$D$64,
IF(F41=$C$65,$D$65,
IF(F41=$C$66,$D$66,
IF(F41=$C$67,$D$67,
IF(F41=$C$68,$D$68,
IF(F41=$C$69,$D$69,
IF(F41=$C$70,$D$70,
IF(F41=$C$71,$D$71,
IF(F41=$C$72,$D$72,
IF(F41=$C$73,$D$73,
IF(F41=$C$74,$D$74,
IF(F41=$C$75,$D$75,
IF(F41=$C$76,$D$76,
IF(F41=$C$77,$D$77,
IF(F41=$C$78,$D$78,
IF(F41=$C$79,$D$79,
IF(F41=$C$80,$D$80,
IF(F41=$C$81,$D$81,
IF(F41=$C$82,$D$82,
IF(F41=$C$83,$D$83,
IF(F41=$C$84,$D$84,
IF(F41=$C$85,$D$85,
IF(F41=$C$86,$D$86,
IF(F41=$C$87,$D$87,
IF(F41=$C$88,$D$88,
IF(F41=$C$89,$D$89,
IF(F41=$C$90,$D$90,
IF(F41=$C$91,$D$91,
IF(F41=$C$92,$D$92,
IF(F41=$C$93,$D$93,
IF(F41=$C$94,$D$94,
IF(F41=$C$95,$D$95,
IF(F41=$C$96,$D$96,
IF(F41=$C$97,$D$97,
IF(F41=$C$98,$D$98,
IF(F41=$C$99,$D$99,
"No Department"))))))))))))))))))))))))))))))))))))))))))))))))))))))))))))</f>
        <v>Finance</v>
      </c>
      <c r="J41" s="12">
        <f t="shared" si="7"/>
        <v>1</v>
      </c>
      <c r="K41" s="20" t="str">
        <f t="shared" si="8"/>
        <v>2015</v>
      </c>
      <c r="L41" s="5" t="s">
        <v>21</v>
      </c>
      <c r="O41" s="2" t="s">
        <v>109</v>
      </c>
      <c r="P41" s="2" t="s">
        <v>5</v>
      </c>
      <c r="Q41" s="2" t="s">
        <v>110</v>
      </c>
      <c r="R41" s="16">
        <v>42023</v>
      </c>
      <c r="S41" s="19" t="str">
        <f t="shared" ref="S41:S60" si="10">TEXT(R41,"yyyy")</f>
        <v>2015</v>
      </c>
      <c r="T41" s="41">
        <v>1</v>
      </c>
      <c r="U41" s="41">
        <v>5</v>
      </c>
      <c r="V41" s="41">
        <v>4000</v>
      </c>
    </row>
    <row r="42" spans="2:22" x14ac:dyDescent="0.3">
      <c r="B42" s="2" t="s">
        <v>143</v>
      </c>
      <c r="C42" s="2" t="s">
        <v>71</v>
      </c>
      <c r="D42" s="2" t="s">
        <v>144</v>
      </c>
      <c r="F42" s="5" t="s">
        <v>30</v>
      </c>
      <c r="G42" s="5" t="s">
        <v>29</v>
      </c>
      <c r="H42" s="5" t="s">
        <v>6</v>
      </c>
      <c r="I42" s="20" t="str">
        <f t="shared" si="9"/>
        <v>Finance</v>
      </c>
      <c r="J42" s="12">
        <f t="shared" si="7"/>
        <v>1</v>
      </c>
      <c r="K42" s="20" t="str">
        <f t="shared" si="8"/>
        <v>2015</v>
      </c>
      <c r="L42" s="5" t="s">
        <v>17</v>
      </c>
      <c r="O42" s="2" t="s">
        <v>111</v>
      </c>
      <c r="P42" s="2" t="s">
        <v>61</v>
      </c>
      <c r="Q42" s="2" t="s">
        <v>112</v>
      </c>
      <c r="R42" s="16">
        <v>42034</v>
      </c>
      <c r="S42" s="19" t="str">
        <f t="shared" si="10"/>
        <v>2015</v>
      </c>
      <c r="T42" s="41">
        <v>1</v>
      </c>
      <c r="U42" s="41">
        <v>30</v>
      </c>
      <c r="V42" s="41">
        <v>2000</v>
      </c>
    </row>
    <row r="43" spans="2:22" x14ac:dyDescent="0.3">
      <c r="B43" s="2" t="s">
        <v>145</v>
      </c>
      <c r="C43" s="2" t="s">
        <v>60</v>
      </c>
      <c r="D43" s="2" t="s">
        <v>142</v>
      </c>
      <c r="F43" s="5" t="s">
        <v>8</v>
      </c>
      <c r="G43" s="5" t="s">
        <v>9</v>
      </c>
      <c r="H43" s="5" t="s">
        <v>6</v>
      </c>
      <c r="I43" s="20" t="str">
        <f t="shared" si="9"/>
        <v>Marketing</v>
      </c>
      <c r="J43" s="12">
        <f t="shared" si="7"/>
        <v>1</v>
      </c>
      <c r="K43" s="20" t="str">
        <f t="shared" si="8"/>
        <v>2016</v>
      </c>
      <c r="L43" s="5" t="s">
        <v>308</v>
      </c>
      <c r="O43" s="2" t="s">
        <v>113</v>
      </c>
      <c r="P43" s="2" t="s">
        <v>65</v>
      </c>
      <c r="Q43" s="2" t="s">
        <v>114</v>
      </c>
      <c r="R43" s="16">
        <v>42047</v>
      </c>
      <c r="S43" s="19" t="str">
        <f t="shared" si="10"/>
        <v>2015</v>
      </c>
      <c r="T43" s="41">
        <v>1</v>
      </c>
      <c r="U43" s="41">
        <v>25</v>
      </c>
      <c r="V43" s="41">
        <v>6000</v>
      </c>
    </row>
    <row r="44" spans="2:22" x14ac:dyDescent="0.3">
      <c r="B44" s="2" t="s">
        <v>146</v>
      </c>
      <c r="C44" s="2" t="s">
        <v>147</v>
      </c>
      <c r="D44" s="2" t="s">
        <v>148</v>
      </c>
      <c r="F44" s="5" t="s">
        <v>8</v>
      </c>
      <c r="G44" s="5" t="s">
        <v>23</v>
      </c>
      <c r="H44" s="5" t="s">
        <v>6</v>
      </c>
      <c r="I44" s="20" t="str">
        <f t="shared" si="9"/>
        <v>Marketing</v>
      </c>
      <c r="J44" s="12">
        <f t="shared" si="7"/>
        <v>1</v>
      </c>
      <c r="K44" s="20" t="str">
        <f t="shared" si="8"/>
        <v>2016</v>
      </c>
      <c r="L44" s="5" t="s">
        <v>308</v>
      </c>
      <c r="O44" s="2" t="s">
        <v>115</v>
      </c>
      <c r="P44" s="2" t="s">
        <v>29</v>
      </c>
      <c r="Q44" s="2" t="s">
        <v>116</v>
      </c>
      <c r="R44" s="16">
        <v>42074</v>
      </c>
      <c r="S44" s="19" t="str">
        <f t="shared" si="10"/>
        <v>2015</v>
      </c>
      <c r="T44" s="41">
        <v>1</v>
      </c>
      <c r="U44" s="41">
        <v>20</v>
      </c>
      <c r="V44" s="41">
        <v>7000</v>
      </c>
    </row>
    <row r="45" spans="2:22" x14ac:dyDescent="0.3">
      <c r="B45" s="2" t="s">
        <v>149</v>
      </c>
      <c r="C45" s="2" t="s">
        <v>150</v>
      </c>
      <c r="D45" s="2" t="s">
        <v>151</v>
      </c>
      <c r="F45" s="5" t="s">
        <v>8</v>
      </c>
      <c r="G45" s="5" t="s">
        <v>54</v>
      </c>
      <c r="H45" s="5" t="s">
        <v>6</v>
      </c>
      <c r="I45" s="20" t="str">
        <f t="shared" si="9"/>
        <v>Marketing</v>
      </c>
      <c r="J45" s="12">
        <f t="shared" si="7"/>
        <v>1</v>
      </c>
      <c r="K45" s="20" t="str">
        <f t="shared" si="8"/>
        <v>2015</v>
      </c>
      <c r="L45" s="5" t="s">
        <v>7</v>
      </c>
      <c r="O45" s="2" t="s">
        <v>117</v>
      </c>
      <c r="P45" s="2" t="s">
        <v>56</v>
      </c>
      <c r="Q45" s="2" t="s">
        <v>118</v>
      </c>
      <c r="R45" s="16">
        <v>42087</v>
      </c>
      <c r="S45" s="19" t="str">
        <f t="shared" si="10"/>
        <v>2015</v>
      </c>
      <c r="T45" s="41">
        <v>1</v>
      </c>
      <c r="U45" s="41">
        <v>5</v>
      </c>
      <c r="V45" s="41">
        <v>2000</v>
      </c>
    </row>
    <row r="46" spans="2:22" x14ac:dyDescent="0.3">
      <c r="B46" s="2" t="s">
        <v>152</v>
      </c>
      <c r="C46" s="2" t="s">
        <v>93</v>
      </c>
      <c r="D46" s="2" t="s">
        <v>151</v>
      </c>
      <c r="F46" s="5" t="s">
        <v>71</v>
      </c>
      <c r="G46" s="5" t="s">
        <v>59</v>
      </c>
      <c r="H46" s="5" t="s">
        <v>6</v>
      </c>
      <c r="I46" s="20" t="str">
        <f t="shared" si="9"/>
        <v>Sales</v>
      </c>
      <c r="J46" s="12">
        <f t="shared" si="7"/>
        <v>1</v>
      </c>
      <c r="K46" s="20" t="str">
        <f t="shared" si="8"/>
        <v>2015</v>
      </c>
      <c r="L46" s="5" t="s">
        <v>32</v>
      </c>
      <c r="O46" s="2" t="s">
        <v>119</v>
      </c>
      <c r="P46" s="2" t="s">
        <v>50</v>
      </c>
      <c r="Q46" s="2" t="s">
        <v>120</v>
      </c>
      <c r="R46" s="16">
        <v>42111</v>
      </c>
      <c r="S46" s="19" t="str">
        <f t="shared" si="10"/>
        <v>2015</v>
      </c>
      <c r="T46" s="41">
        <v>1</v>
      </c>
      <c r="U46" s="41">
        <v>25</v>
      </c>
      <c r="V46" s="41">
        <v>2000</v>
      </c>
    </row>
    <row r="47" spans="2:22" x14ac:dyDescent="0.3">
      <c r="B47" s="2" t="s">
        <v>153</v>
      </c>
      <c r="C47" s="2" t="s">
        <v>69</v>
      </c>
      <c r="D47" s="2" t="s">
        <v>144</v>
      </c>
      <c r="F47" s="5" t="s">
        <v>71</v>
      </c>
      <c r="G47" s="5" t="s">
        <v>23</v>
      </c>
      <c r="H47" s="5" t="s">
        <v>6</v>
      </c>
      <c r="I47" s="20" t="str">
        <f t="shared" si="9"/>
        <v>Sales</v>
      </c>
      <c r="J47" s="12">
        <f t="shared" si="7"/>
        <v>1</v>
      </c>
      <c r="K47" s="20" t="str">
        <f t="shared" si="8"/>
        <v>2016</v>
      </c>
      <c r="L47" s="5" t="s">
        <v>308</v>
      </c>
      <c r="O47" s="2" t="s">
        <v>121</v>
      </c>
      <c r="P47" s="2" t="s">
        <v>59</v>
      </c>
      <c r="Q47" s="2" t="s">
        <v>122</v>
      </c>
      <c r="R47" s="16">
        <v>42136</v>
      </c>
      <c r="S47" s="19" t="str">
        <f t="shared" si="10"/>
        <v>2015</v>
      </c>
      <c r="T47" s="41">
        <v>1</v>
      </c>
      <c r="U47" s="41">
        <v>15</v>
      </c>
      <c r="V47" s="41">
        <v>2000</v>
      </c>
    </row>
    <row r="48" spans="2:22" x14ac:dyDescent="0.3">
      <c r="B48" s="2" t="s">
        <v>154</v>
      </c>
      <c r="C48" s="2" t="s">
        <v>51</v>
      </c>
      <c r="D48" s="2" t="s">
        <v>148</v>
      </c>
      <c r="F48" s="5" t="s">
        <v>60</v>
      </c>
      <c r="G48" s="5" t="s">
        <v>61</v>
      </c>
      <c r="H48" s="5" t="s">
        <v>6</v>
      </c>
      <c r="I48" s="20" t="str">
        <f t="shared" si="9"/>
        <v>Marketing</v>
      </c>
      <c r="J48" s="12">
        <f t="shared" si="7"/>
        <v>1</v>
      </c>
      <c r="K48" s="20" t="str">
        <f t="shared" si="8"/>
        <v>2015</v>
      </c>
      <c r="L48" s="5" t="s">
        <v>17</v>
      </c>
      <c r="O48" s="2" t="s">
        <v>123</v>
      </c>
      <c r="P48" s="2" t="s">
        <v>52</v>
      </c>
      <c r="Q48" s="2" t="s">
        <v>124</v>
      </c>
      <c r="R48" s="16">
        <v>42156</v>
      </c>
      <c r="S48" s="19" t="str">
        <f t="shared" si="10"/>
        <v>2015</v>
      </c>
      <c r="T48" s="41">
        <v>1</v>
      </c>
      <c r="U48" s="41">
        <v>15</v>
      </c>
      <c r="V48" s="41">
        <v>3000</v>
      </c>
    </row>
    <row r="49" spans="2:22" x14ac:dyDescent="0.3">
      <c r="B49" s="2" t="s">
        <v>155</v>
      </c>
      <c r="C49" s="2" t="s">
        <v>156</v>
      </c>
      <c r="D49" s="2" t="s">
        <v>140</v>
      </c>
      <c r="F49" s="5" t="s">
        <v>60</v>
      </c>
      <c r="G49" s="5" t="s">
        <v>16</v>
      </c>
      <c r="H49" s="5" t="s">
        <v>6</v>
      </c>
      <c r="I49" s="20" t="str">
        <f t="shared" si="9"/>
        <v>Marketing</v>
      </c>
      <c r="J49" s="12">
        <f t="shared" si="7"/>
        <v>1</v>
      </c>
      <c r="K49" s="20" t="str">
        <f t="shared" si="8"/>
        <v>2015</v>
      </c>
      <c r="L49" s="5" t="s">
        <v>32</v>
      </c>
      <c r="O49" s="2" t="s">
        <v>125</v>
      </c>
      <c r="P49" s="2" t="s">
        <v>16</v>
      </c>
      <c r="Q49" s="2" t="s">
        <v>108</v>
      </c>
      <c r="R49" s="16">
        <v>42180</v>
      </c>
      <c r="S49" s="19" t="str">
        <f t="shared" si="10"/>
        <v>2015</v>
      </c>
      <c r="T49" s="41">
        <v>1</v>
      </c>
      <c r="U49" s="41">
        <v>5</v>
      </c>
      <c r="V49" s="41">
        <v>7000</v>
      </c>
    </row>
    <row r="50" spans="2:22" x14ac:dyDescent="0.3">
      <c r="B50" s="2" t="s">
        <v>157</v>
      </c>
      <c r="C50" s="2" t="s">
        <v>28</v>
      </c>
      <c r="D50" s="2" t="s">
        <v>140</v>
      </c>
      <c r="F50" s="5" t="s">
        <v>60</v>
      </c>
      <c r="G50" s="5" t="s">
        <v>19</v>
      </c>
      <c r="H50" s="5" t="s">
        <v>6</v>
      </c>
      <c r="I50" s="20" t="str">
        <f t="shared" si="9"/>
        <v>Marketing</v>
      </c>
      <c r="J50" s="12">
        <f t="shared" si="7"/>
        <v>1</v>
      </c>
      <c r="K50" s="20" t="str">
        <f t="shared" si="8"/>
        <v>2015</v>
      </c>
      <c r="L50" s="5" t="s">
        <v>12</v>
      </c>
      <c r="O50" s="2" t="s">
        <v>126</v>
      </c>
      <c r="P50" s="2" t="s">
        <v>39</v>
      </c>
      <c r="Q50" s="2" t="s">
        <v>110</v>
      </c>
      <c r="R50" s="16">
        <v>42194</v>
      </c>
      <c r="S50" s="19" t="str">
        <f t="shared" si="10"/>
        <v>2015</v>
      </c>
      <c r="T50" s="41">
        <v>0.5</v>
      </c>
      <c r="U50" s="41">
        <v>20</v>
      </c>
      <c r="V50" s="41">
        <v>2000</v>
      </c>
    </row>
    <row r="51" spans="2:22" x14ac:dyDescent="0.3">
      <c r="B51" s="2" t="s">
        <v>158</v>
      </c>
      <c r="C51" s="2" t="s">
        <v>72</v>
      </c>
      <c r="D51" s="2" t="s">
        <v>144</v>
      </c>
      <c r="F51" s="5" t="s">
        <v>60</v>
      </c>
      <c r="G51" s="5" t="s">
        <v>19</v>
      </c>
      <c r="H51" s="5" t="s">
        <v>6</v>
      </c>
      <c r="I51" s="20" t="str">
        <f t="shared" si="9"/>
        <v>Marketing</v>
      </c>
      <c r="J51" s="12">
        <f t="shared" si="7"/>
        <v>1</v>
      </c>
      <c r="K51" s="20" t="str">
        <f t="shared" si="8"/>
        <v>2015</v>
      </c>
      <c r="L51" s="5" t="s">
        <v>7</v>
      </c>
      <c r="O51" s="2" t="s">
        <v>127</v>
      </c>
      <c r="P51" s="2" t="s">
        <v>46</v>
      </c>
      <c r="Q51" s="2" t="s">
        <v>112</v>
      </c>
      <c r="R51" s="16">
        <v>42213</v>
      </c>
      <c r="S51" s="19" t="str">
        <f t="shared" si="10"/>
        <v>2015</v>
      </c>
      <c r="T51" s="41">
        <v>0.5</v>
      </c>
      <c r="U51" s="41">
        <v>30</v>
      </c>
      <c r="V51" s="41">
        <v>5000</v>
      </c>
    </row>
    <row r="52" spans="2:22" x14ac:dyDescent="0.3">
      <c r="B52" s="2" t="s">
        <v>159</v>
      </c>
      <c r="C52" s="2" t="s">
        <v>160</v>
      </c>
      <c r="D52" s="2" t="s">
        <v>148</v>
      </c>
      <c r="F52" s="5" t="s">
        <v>60</v>
      </c>
      <c r="G52" s="5" t="s">
        <v>65</v>
      </c>
      <c r="H52" s="5" t="s">
        <v>6</v>
      </c>
      <c r="I52" s="20" t="str">
        <f t="shared" si="9"/>
        <v>Marketing</v>
      </c>
      <c r="J52" s="12">
        <f t="shared" si="7"/>
        <v>1</v>
      </c>
      <c r="K52" s="20" t="str">
        <f t="shared" si="8"/>
        <v>2015</v>
      </c>
      <c r="L52" s="5" t="s">
        <v>21</v>
      </c>
      <c r="O52" s="2" t="s">
        <v>128</v>
      </c>
      <c r="P52" s="2" t="s">
        <v>73</v>
      </c>
      <c r="Q52" s="2" t="s">
        <v>114</v>
      </c>
      <c r="R52" s="16">
        <v>42226</v>
      </c>
      <c r="S52" s="19" t="str">
        <f t="shared" si="10"/>
        <v>2015</v>
      </c>
      <c r="T52" s="41">
        <v>1</v>
      </c>
      <c r="U52" s="41">
        <v>30</v>
      </c>
      <c r="V52" s="41">
        <v>7000</v>
      </c>
    </row>
    <row r="53" spans="2:22" x14ac:dyDescent="0.3">
      <c r="B53" s="2" t="s">
        <v>161</v>
      </c>
      <c r="C53" s="2" t="s">
        <v>63</v>
      </c>
      <c r="D53" s="2" t="s">
        <v>142</v>
      </c>
      <c r="F53" s="5" t="s">
        <v>93</v>
      </c>
      <c r="G53" s="5" t="s">
        <v>14</v>
      </c>
      <c r="H53" s="5" t="s">
        <v>6</v>
      </c>
      <c r="I53" s="20" t="str">
        <f t="shared" si="9"/>
        <v>IT</v>
      </c>
      <c r="J53" s="12">
        <f t="shared" si="7"/>
        <v>1.5</v>
      </c>
      <c r="K53" s="20" t="str">
        <f t="shared" si="8"/>
        <v>2015</v>
      </c>
      <c r="L53" s="5" t="s">
        <v>308</v>
      </c>
      <c r="O53" s="2" t="s">
        <v>129</v>
      </c>
      <c r="P53" s="2" t="s">
        <v>31</v>
      </c>
      <c r="Q53" s="2" t="s">
        <v>116</v>
      </c>
      <c r="R53" s="16">
        <v>42254</v>
      </c>
      <c r="S53" s="19" t="str">
        <f t="shared" si="10"/>
        <v>2015</v>
      </c>
      <c r="T53" s="41">
        <v>1</v>
      </c>
      <c r="U53" s="41">
        <v>20</v>
      </c>
      <c r="V53" s="41">
        <v>6000</v>
      </c>
    </row>
    <row r="54" spans="2:22" x14ac:dyDescent="0.3">
      <c r="B54" s="2" t="s">
        <v>162</v>
      </c>
      <c r="C54" s="2" t="s">
        <v>163</v>
      </c>
      <c r="D54" s="2" t="s">
        <v>148</v>
      </c>
      <c r="F54" s="5" t="s">
        <v>69</v>
      </c>
      <c r="G54" s="5" t="s">
        <v>11</v>
      </c>
      <c r="H54" s="5" t="s">
        <v>6</v>
      </c>
      <c r="I54" s="20" t="str">
        <f t="shared" si="9"/>
        <v>Sales</v>
      </c>
      <c r="J54" s="12">
        <f t="shared" si="7"/>
        <v>1</v>
      </c>
      <c r="K54" s="20" t="str">
        <f t="shared" si="8"/>
        <v>2015</v>
      </c>
      <c r="L54" s="5" t="s">
        <v>21</v>
      </c>
      <c r="O54" s="2" t="s">
        <v>130</v>
      </c>
      <c r="P54" s="2" t="s">
        <v>19</v>
      </c>
      <c r="Q54" s="2" t="s">
        <v>118</v>
      </c>
      <c r="R54" s="16">
        <v>42268</v>
      </c>
      <c r="S54" s="19" t="str">
        <f t="shared" si="10"/>
        <v>2015</v>
      </c>
      <c r="T54" s="41">
        <v>1</v>
      </c>
      <c r="U54" s="41">
        <v>10</v>
      </c>
      <c r="V54" s="41">
        <v>7000</v>
      </c>
    </row>
    <row r="55" spans="2:22" x14ac:dyDescent="0.3">
      <c r="B55" s="2" t="s">
        <v>164</v>
      </c>
      <c r="C55" s="2" t="s">
        <v>80</v>
      </c>
      <c r="D55" s="2" t="s">
        <v>140</v>
      </c>
      <c r="F55" s="5" t="s">
        <v>69</v>
      </c>
      <c r="G55" s="5" t="s">
        <v>56</v>
      </c>
      <c r="H55" s="5" t="s">
        <v>6</v>
      </c>
      <c r="I55" s="20" t="str">
        <f t="shared" si="9"/>
        <v>Sales</v>
      </c>
      <c r="J55" s="12">
        <f t="shared" si="7"/>
        <v>1</v>
      </c>
      <c r="K55" s="20" t="str">
        <f t="shared" si="8"/>
        <v>2015</v>
      </c>
      <c r="L55" s="5" t="s">
        <v>7</v>
      </c>
      <c r="O55" s="2" t="s">
        <v>131</v>
      </c>
      <c r="P55" s="2" t="s">
        <v>54</v>
      </c>
      <c r="Q55" s="2" t="s">
        <v>120</v>
      </c>
      <c r="R55" s="16">
        <v>42292</v>
      </c>
      <c r="S55" s="19" t="str">
        <f t="shared" si="10"/>
        <v>2015</v>
      </c>
      <c r="T55" s="41">
        <v>1</v>
      </c>
      <c r="U55" s="41">
        <v>5</v>
      </c>
      <c r="V55" s="41">
        <v>5000</v>
      </c>
    </row>
    <row r="56" spans="2:22" x14ac:dyDescent="0.3">
      <c r="B56" s="2" t="s">
        <v>165</v>
      </c>
      <c r="C56" s="2" t="s">
        <v>43</v>
      </c>
      <c r="D56" s="2" t="s">
        <v>166</v>
      </c>
      <c r="F56" s="5" t="s">
        <v>69</v>
      </c>
      <c r="G56" s="5" t="s">
        <v>11</v>
      </c>
      <c r="H56" s="5" t="s">
        <v>6</v>
      </c>
      <c r="I56" s="20" t="str">
        <f t="shared" si="9"/>
        <v>Sales</v>
      </c>
      <c r="J56" s="12">
        <f t="shared" si="7"/>
        <v>1</v>
      </c>
      <c r="K56" s="20" t="str">
        <f t="shared" si="8"/>
        <v>2015</v>
      </c>
      <c r="L56" s="5" t="s">
        <v>17</v>
      </c>
      <c r="O56" s="2" t="s">
        <v>132</v>
      </c>
      <c r="P56" s="2" t="s">
        <v>26</v>
      </c>
      <c r="Q56" s="2" t="s">
        <v>122</v>
      </c>
      <c r="R56" s="16">
        <v>42317</v>
      </c>
      <c r="S56" s="19" t="str">
        <f t="shared" si="10"/>
        <v>2015</v>
      </c>
      <c r="T56" s="41">
        <v>1</v>
      </c>
      <c r="U56" s="41">
        <v>30</v>
      </c>
      <c r="V56" s="41">
        <v>5000</v>
      </c>
    </row>
    <row r="57" spans="2:22" x14ac:dyDescent="0.3">
      <c r="B57" s="2" t="s">
        <v>167</v>
      </c>
      <c r="C57" s="2" t="s">
        <v>83</v>
      </c>
      <c r="D57" s="2" t="s">
        <v>144</v>
      </c>
      <c r="F57" s="5" t="s">
        <v>69</v>
      </c>
      <c r="G57" s="5" t="s">
        <v>9</v>
      </c>
      <c r="H57" s="5" t="s">
        <v>6</v>
      </c>
      <c r="I57" s="20" t="str">
        <f t="shared" si="9"/>
        <v>Sales</v>
      </c>
      <c r="J57" s="12">
        <f t="shared" si="7"/>
        <v>1</v>
      </c>
      <c r="K57" s="20" t="str">
        <f t="shared" si="8"/>
        <v>2016</v>
      </c>
      <c r="L57" s="5" t="s">
        <v>308</v>
      </c>
      <c r="O57" s="2" t="s">
        <v>133</v>
      </c>
      <c r="P57" s="2" t="s">
        <v>14</v>
      </c>
      <c r="Q57" s="2" t="s">
        <v>124</v>
      </c>
      <c r="R57" s="16">
        <v>42339</v>
      </c>
      <c r="S57" s="19" t="str">
        <f t="shared" si="10"/>
        <v>2015</v>
      </c>
      <c r="T57" s="41">
        <v>1.5</v>
      </c>
      <c r="U57" s="41">
        <v>15</v>
      </c>
      <c r="V57" s="41">
        <v>3000</v>
      </c>
    </row>
    <row r="58" spans="2:22" x14ac:dyDescent="0.3">
      <c r="B58" s="2" t="s">
        <v>168</v>
      </c>
      <c r="C58" s="2" t="s">
        <v>27</v>
      </c>
      <c r="D58" s="2" t="s">
        <v>148</v>
      </c>
      <c r="F58" s="5" t="s">
        <v>51</v>
      </c>
      <c r="G58" s="5" t="s">
        <v>52</v>
      </c>
      <c r="H58" s="5" t="s">
        <v>6</v>
      </c>
      <c r="I58" s="20" t="str">
        <f t="shared" si="9"/>
        <v>Operations</v>
      </c>
      <c r="J58" s="12">
        <f t="shared" si="7"/>
        <v>1</v>
      </c>
      <c r="K58" s="20" t="str">
        <f t="shared" si="8"/>
        <v>2015</v>
      </c>
      <c r="L58" s="5" t="s">
        <v>12</v>
      </c>
      <c r="O58" s="2" t="s">
        <v>134</v>
      </c>
      <c r="P58" s="2" t="s">
        <v>76</v>
      </c>
      <c r="Q58" s="2" t="s">
        <v>108</v>
      </c>
      <c r="R58" s="16">
        <v>42352</v>
      </c>
      <c r="S58" s="19" t="str">
        <f t="shared" si="10"/>
        <v>2015</v>
      </c>
      <c r="T58" s="41">
        <v>1</v>
      </c>
      <c r="U58" s="41">
        <v>20</v>
      </c>
      <c r="V58" s="41">
        <v>3000</v>
      </c>
    </row>
    <row r="59" spans="2:22" x14ac:dyDescent="0.3">
      <c r="B59" s="2" t="s">
        <v>169</v>
      </c>
      <c r="C59" s="2" t="s">
        <v>85</v>
      </c>
      <c r="D59" s="2" t="s">
        <v>140</v>
      </c>
      <c r="F59" s="5" t="s">
        <v>51</v>
      </c>
      <c r="G59" s="5" t="s">
        <v>52</v>
      </c>
      <c r="H59" s="5" t="s">
        <v>6</v>
      </c>
      <c r="I59" s="20" t="str">
        <f t="shared" si="9"/>
        <v>Operations</v>
      </c>
      <c r="J59" s="12">
        <f t="shared" si="7"/>
        <v>1</v>
      </c>
      <c r="K59" s="20" t="str">
        <f t="shared" si="8"/>
        <v>2015</v>
      </c>
      <c r="L59" s="5" t="s">
        <v>32</v>
      </c>
      <c r="O59" s="2" t="s">
        <v>135</v>
      </c>
      <c r="P59" s="2" t="s">
        <v>23</v>
      </c>
      <c r="Q59" s="2" t="s">
        <v>110</v>
      </c>
      <c r="R59" s="16">
        <v>42373</v>
      </c>
      <c r="S59" s="19" t="str">
        <f t="shared" si="10"/>
        <v>2016</v>
      </c>
      <c r="T59" s="41">
        <v>1</v>
      </c>
      <c r="U59" s="41">
        <v>30</v>
      </c>
      <c r="V59" s="41">
        <v>3000</v>
      </c>
    </row>
    <row r="60" spans="2:22" x14ac:dyDescent="0.3">
      <c r="B60" s="2" t="s">
        <v>170</v>
      </c>
      <c r="C60" s="2" t="s">
        <v>13</v>
      </c>
      <c r="D60" s="2" t="s">
        <v>140</v>
      </c>
      <c r="F60" s="5" t="s">
        <v>51</v>
      </c>
      <c r="G60" s="5" t="s">
        <v>65</v>
      </c>
      <c r="H60" s="5" t="s">
        <v>6</v>
      </c>
      <c r="I60" s="20" t="str">
        <f t="shared" si="9"/>
        <v>Operations</v>
      </c>
      <c r="J60" s="12">
        <f t="shared" si="7"/>
        <v>1</v>
      </c>
      <c r="K60" s="20" t="str">
        <f t="shared" si="8"/>
        <v>2015</v>
      </c>
      <c r="L60" s="5" t="s">
        <v>32</v>
      </c>
      <c r="O60" s="2" t="s">
        <v>136</v>
      </c>
      <c r="P60" s="2" t="s">
        <v>9</v>
      </c>
      <c r="Q60" s="2" t="s">
        <v>112</v>
      </c>
      <c r="R60" s="16">
        <v>42384</v>
      </c>
      <c r="S60" s="19" t="str">
        <f t="shared" si="10"/>
        <v>2016</v>
      </c>
      <c r="T60" s="41">
        <v>1</v>
      </c>
      <c r="U60" s="41">
        <v>15</v>
      </c>
      <c r="V60" s="41">
        <v>6000</v>
      </c>
    </row>
    <row r="61" spans="2:22" x14ac:dyDescent="0.3">
      <c r="B61" s="2" t="s">
        <v>171</v>
      </c>
      <c r="C61" s="2" t="s">
        <v>90</v>
      </c>
      <c r="D61" s="2" t="s">
        <v>148</v>
      </c>
      <c r="F61" s="5" t="s">
        <v>51</v>
      </c>
      <c r="G61" s="5" t="s">
        <v>26</v>
      </c>
      <c r="H61" s="5" t="s">
        <v>6</v>
      </c>
      <c r="I61" s="20" t="str">
        <f t="shared" si="9"/>
        <v>Operations</v>
      </c>
      <c r="J61" s="12">
        <f t="shared" si="7"/>
        <v>1</v>
      </c>
      <c r="K61" s="20" t="str">
        <f t="shared" si="8"/>
        <v>2015</v>
      </c>
      <c r="L61" s="5" t="s">
        <v>308</v>
      </c>
    </row>
    <row r="62" spans="2:22" x14ac:dyDescent="0.3">
      <c r="B62" s="2" t="s">
        <v>172</v>
      </c>
      <c r="C62" s="2" t="s">
        <v>173</v>
      </c>
      <c r="D62" s="2" t="s">
        <v>142</v>
      </c>
      <c r="F62" s="5" t="s">
        <v>28</v>
      </c>
      <c r="G62" s="5" t="s">
        <v>29</v>
      </c>
      <c r="H62" s="5" t="s">
        <v>6</v>
      </c>
      <c r="I62" s="20" t="str">
        <f t="shared" si="9"/>
        <v>Finance</v>
      </c>
      <c r="J62" s="12">
        <f t="shared" si="7"/>
        <v>1</v>
      </c>
      <c r="K62" s="20" t="str">
        <f t="shared" si="8"/>
        <v>2015</v>
      </c>
      <c r="L62" s="5" t="s">
        <v>12</v>
      </c>
    </row>
    <row r="63" spans="2:22" x14ac:dyDescent="0.3">
      <c r="B63" s="2" t="s">
        <v>174</v>
      </c>
      <c r="C63" s="2" t="s">
        <v>38</v>
      </c>
      <c r="D63" s="2" t="s">
        <v>140</v>
      </c>
      <c r="F63" s="5" t="s">
        <v>72</v>
      </c>
      <c r="G63" s="5" t="s">
        <v>73</v>
      </c>
      <c r="H63" s="5" t="s">
        <v>6</v>
      </c>
      <c r="I63" s="20" t="str">
        <f t="shared" si="9"/>
        <v>Sales</v>
      </c>
      <c r="J63" s="12">
        <f t="shared" si="7"/>
        <v>1</v>
      </c>
      <c r="K63" s="20" t="str">
        <f t="shared" si="8"/>
        <v>2015</v>
      </c>
      <c r="L63" s="5" t="s">
        <v>21</v>
      </c>
    </row>
    <row r="64" spans="2:22" x14ac:dyDescent="0.3">
      <c r="B64" s="2" t="s">
        <v>175</v>
      </c>
      <c r="C64" s="2" t="s">
        <v>62</v>
      </c>
      <c r="D64" s="2" t="s">
        <v>142</v>
      </c>
      <c r="F64" s="5" t="s">
        <v>63</v>
      </c>
      <c r="G64" s="5" t="s">
        <v>59</v>
      </c>
      <c r="H64" s="5" t="s">
        <v>6</v>
      </c>
      <c r="I64" s="20" t="str">
        <f t="shared" si="9"/>
        <v>Marketing</v>
      </c>
      <c r="J64" s="12">
        <f t="shared" si="7"/>
        <v>1</v>
      </c>
      <c r="K64" s="20" t="str">
        <f t="shared" si="8"/>
        <v>2015</v>
      </c>
      <c r="L64" s="5" t="s">
        <v>21</v>
      </c>
    </row>
    <row r="65" spans="2:12" x14ac:dyDescent="0.3">
      <c r="B65" s="2" t="s">
        <v>176</v>
      </c>
      <c r="C65" s="2" t="s">
        <v>25</v>
      </c>
      <c r="D65" s="2" t="s">
        <v>151</v>
      </c>
      <c r="F65" s="5" t="s">
        <v>63</v>
      </c>
      <c r="G65" s="5" t="s">
        <v>19</v>
      </c>
      <c r="H65" s="5" t="s">
        <v>6</v>
      </c>
      <c r="I65" s="20" t="str">
        <f t="shared" si="9"/>
        <v>Marketing</v>
      </c>
      <c r="J65" s="12">
        <f t="shared" si="7"/>
        <v>1</v>
      </c>
      <c r="K65" s="20" t="str">
        <f t="shared" si="8"/>
        <v>2015</v>
      </c>
      <c r="L65" s="5" t="s">
        <v>17</v>
      </c>
    </row>
    <row r="66" spans="2:12" x14ac:dyDescent="0.3">
      <c r="B66" s="2" t="s">
        <v>177</v>
      </c>
      <c r="C66" s="2" t="s">
        <v>178</v>
      </c>
      <c r="D66" s="2" t="s">
        <v>142</v>
      </c>
      <c r="F66" s="5" t="s">
        <v>80</v>
      </c>
      <c r="G66" s="5" t="s">
        <v>54</v>
      </c>
      <c r="H66" s="5" t="s">
        <v>6</v>
      </c>
      <c r="I66" s="20" t="str">
        <f t="shared" si="9"/>
        <v>Finance</v>
      </c>
      <c r="J66" s="12">
        <f t="shared" si="7"/>
        <v>1</v>
      </c>
      <c r="K66" s="20" t="str">
        <f t="shared" si="8"/>
        <v>2015</v>
      </c>
      <c r="L66" s="5" t="s">
        <v>7</v>
      </c>
    </row>
    <row r="67" spans="2:12" x14ac:dyDescent="0.3">
      <c r="B67" s="2" t="s">
        <v>179</v>
      </c>
      <c r="C67" s="2" t="s">
        <v>20</v>
      </c>
      <c r="D67" s="2" t="s">
        <v>144</v>
      </c>
      <c r="F67" s="5" t="s">
        <v>80</v>
      </c>
      <c r="G67" s="5" t="s">
        <v>54</v>
      </c>
      <c r="H67" s="5" t="s">
        <v>6</v>
      </c>
      <c r="I67" s="20" t="str">
        <f t="shared" si="9"/>
        <v>Finance</v>
      </c>
      <c r="J67" s="12">
        <f t="shared" si="7"/>
        <v>1</v>
      </c>
      <c r="K67" s="20" t="str">
        <f t="shared" si="8"/>
        <v>2015</v>
      </c>
      <c r="L67" s="5" t="s">
        <v>21</v>
      </c>
    </row>
    <row r="68" spans="2:12" x14ac:dyDescent="0.3">
      <c r="B68" s="2" t="s">
        <v>180</v>
      </c>
      <c r="C68" s="2" t="s">
        <v>181</v>
      </c>
      <c r="D68" s="2" t="s">
        <v>166</v>
      </c>
      <c r="F68" s="5" t="s">
        <v>80</v>
      </c>
      <c r="G68" s="5" t="s">
        <v>29</v>
      </c>
      <c r="H68" s="5" t="s">
        <v>6</v>
      </c>
      <c r="I68" s="20" t="str">
        <f t="shared" si="9"/>
        <v>Finance</v>
      </c>
      <c r="J68" s="12">
        <f t="shared" si="7"/>
        <v>1</v>
      </c>
      <c r="K68" s="20" t="str">
        <f t="shared" si="8"/>
        <v>2015</v>
      </c>
      <c r="L68" s="5" t="s">
        <v>32</v>
      </c>
    </row>
    <row r="69" spans="2:12" x14ac:dyDescent="0.3">
      <c r="B69" s="2" t="s">
        <v>182</v>
      </c>
      <c r="C69" s="2" t="s">
        <v>35</v>
      </c>
      <c r="D69" s="2" t="s">
        <v>140</v>
      </c>
      <c r="F69" s="5" t="s">
        <v>43</v>
      </c>
      <c r="G69" s="5" t="s">
        <v>23</v>
      </c>
      <c r="H69" s="5" t="s">
        <v>6</v>
      </c>
      <c r="I69" s="20" t="str">
        <f t="shared" si="9"/>
        <v>HR</v>
      </c>
      <c r="J69" s="12">
        <f t="shared" si="7"/>
        <v>1</v>
      </c>
      <c r="K69" s="20" t="str">
        <f t="shared" si="8"/>
        <v>2016</v>
      </c>
      <c r="L69" s="5" t="s">
        <v>308</v>
      </c>
    </row>
    <row r="70" spans="2:12" x14ac:dyDescent="0.3">
      <c r="B70" s="2" t="s">
        <v>183</v>
      </c>
      <c r="C70" s="2" t="s">
        <v>184</v>
      </c>
      <c r="D70" s="2" t="s">
        <v>148</v>
      </c>
      <c r="F70" s="5" t="s">
        <v>43</v>
      </c>
      <c r="G70" s="5" t="s">
        <v>65</v>
      </c>
      <c r="H70" s="5" t="s">
        <v>6</v>
      </c>
      <c r="I70" s="20" t="str">
        <f t="shared" si="9"/>
        <v>HR</v>
      </c>
      <c r="J70" s="12">
        <f t="shared" si="7"/>
        <v>1</v>
      </c>
      <c r="K70" s="20" t="str">
        <f t="shared" si="8"/>
        <v>2015</v>
      </c>
      <c r="L70" s="5" t="s">
        <v>12</v>
      </c>
    </row>
    <row r="71" spans="2:12" x14ac:dyDescent="0.3">
      <c r="B71" s="2" t="s">
        <v>185</v>
      </c>
      <c r="C71" s="2" t="s">
        <v>186</v>
      </c>
      <c r="D71" s="2" t="s">
        <v>151</v>
      </c>
      <c r="F71" s="5" t="s">
        <v>43</v>
      </c>
      <c r="G71" s="5" t="s">
        <v>52</v>
      </c>
      <c r="H71" s="5" t="s">
        <v>6</v>
      </c>
      <c r="I71" s="20" t="str">
        <f t="shared" si="9"/>
        <v>HR</v>
      </c>
      <c r="J71" s="12">
        <f t="shared" si="7"/>
        <v>1</v>
      </c>
      <c r="K71" s="20" t="str">
        <f t="shared" si="8"/>
        <v>2015</v>
      </c>
      <c r="L71" s="5" t="s">
        <v>21</v>
      </c>
    </row>
    <row r="72" spans="2:12" x14ac:dyDescent="0.3">
      <c r="B72" s="2" t="s">
        <v>187</v>
      </c>
      <c r="C72" s="2" t="s">
        <v>188</v>
      </c>
      <c r="D72" s="2" t="s">
        <v>142</v>
      </c>
      <c r="F72" s="5" t="s">
        <v>43</v>
      </c>
      <c r="G72" s="5" t="s">
        <v>52</v>
      </c>
      <c r="H72" s="5" t="s">
        <v>6</v>
      </c>
      <c r="I72" s="20" t="str">
        <f t="shared" si="9"/>
        <v>HR</v>
      </c>
      <c r="J72" s="12">
        <f t="shared" ref="J72:J103" si="11">IF(G72=$P$40,$T$40,
IF(G72=$P$41,$T$41,
IF(G72=$P$42,$T$42,
IF(G72=$P$43,$T$43,
IF(G72=$P$44,$T$44,
IF(G72=$P$45,$T$45,
IF(G72=$P$46,$T$46,
IF(G72=$P$47,$T$47,
IF(G72=$P$48,$T$48,
IF(G72=$P$49,$T$49,
IF(G72=$P$50,$T$50,
IF(G72=$P$51,$T$51,
IF(G72=$P$52,$T$52,
IF(G72=$P$53,$T$53,
IF(G72=$P$54,$T$54,
IF(G72=$P$55,$T$55,
IF(G72=$P$56,$T$56,
IF(G72=$P$57,$T$57,
IF(G72=$P$58,$T$58,
IF(G72=$P$59,$T$59,
IF(G72=$P$60,$T$60,
"no info")))))))))))))))))))))</f>
        <v>1</v>
      </c>
      <c r="K72" s="20" t="str">
        <f t="shared" ref="K72:K103" si="12">IF((OR($P$40=G72,$P$41=G72,$P$42=G72,$P$43=G72,$P$44=G72,$P$45=G72,$P$46=G72,$P$47=G72,$P$48=G72,$P$49=G72,$P$50=G72,$P$51=G72,$P$52=G72,$P$53=G72,$P$54=G72,$P$55=G72,$P$56=G72,$P$57=G72,$P$58=G72)),$S$40,"2016")</f>
        <v>2015</v>
      </c>
      <c r="L72" s="5" t="s">
        <v>12</v>
      </c>
    </row>
    <row r="73" spans="2:12" x14ac:dyDescent="0.3">
      <c r="B73" s="2" t="s">
        <v>189</v>
      </c>
      <c r="C73" s="2" t="s">
        <v>47</v>
      </c>
      <c r="D73" s="2" t="s">
        <v>140</v>
      </c>
      <c r="F73" s="5" t="s">
        <v>43</v>
      </c>
      <c r="G73" s="5" t="s">
        <v>46</v>
      </c>
      <c r="H73" s="5" t="s">
        <v>6</v>
      </c>
      <c r="I73" s="20" t="str">
        <f t="shared" ref="I73:I104" si="13">IF(F73=$C$40,$D$40,
IF(F73=$C$41,$D$41,
IF(F73=$C$42,$D$42,
IF(F73=$C$43,$D$43,
IF(F73=$C$44,$D$44,
IF(F73=$C$45,$D$45,
IF(F73=$C$46,$D$46,
IF(F73=$C$47,$D$47,
IF(F73=$C$48,$D$48,
IF(F73=$C$49,$D$49,
IF(F73=$C$50,$D$50,
IF(F73=$C$51,$D$51,
IF(F73=$C$52,$D$52,
IF(F73=$C$53,$D$53,
IF(F73=$C$54,$D$54,
IF(F73=$C$55,$D$55,
IF(F73=$C$56,$D$56,
IF(F73=$C$57,$D$57,
IF(F73=$C$58,$D$58,
IF(F73=$C$59,$D$59,
IF(F73=$C$60,$D$60,
IF(F73=$C$61,$D$61,
IF(F73=$C$62,$D$62,
IF(F73=$C$63,$D$63,
IF(F73=$C$64,$D$64,
IF(F73=$C$65,$D$65,
IF(F73=$C$66,$D$66,
IF(F73=$C$67,$D$67,
IF(F73=$C$68,$D$68,
IF(F73=$C$69,$D$69,
IF(F73=$C$70,$D$70,
IF(F73=$C$71,$D$71,
IF(F73=$C$72,$D$72,
IF(F73=$C$73,$D$73,
IF(F73=$C$74,$D$74,
IF(F73=$C$75,$D$75,
IF(F73=$C$76,$D$76,
IF(F73=$C$77,$D$77,
IF(F73=$C$78,$D$78,
IF(F73=$C$79,$D$79,
IF(F73=$C$80,$D$80,
IF(F73=$C$81,$D$81,
IF(F73=$C$82,$D$82,
IF(F73=$C$83,$D$83,
IF(F73=$C$84,$D$84,
IF(F73=$C$85,$D$85,
IF(F73=$C$86,$D$86,
IF(F73=$C$87,$D$87,
IF(F73=$C$88,$D$88,
IF(F73=$C$89,$D$89,
IF(F73=$C$90,$D$90,
IF(F73=$C$91,$D$91,
IF(F73=$C$92,$D$92,
IF(F73=$C$93,$D$93,
IF(F73=$C$94,$D$94,
IF(F73=$C$95,$D$95,
IF(F73=$C$96,$D$96,
IF(F73=$C$97,$D$97,
IF(F73=$C$98,$D$98,
IF(F73=$C$99,$D$99,
"No Department"))))))))))))))))))))))))))))))))))))))))))))))))))))))))))))</f>
        <v>HR</v>
      </c>
      <c r="J73" s="12">
        <f t="shared" si="11"/>
        <v>0.5</v>
      </c>
      <c r="K73" s="20" t="str">
        <f t="shared" si="12"/>
        <v>2015</v>
      </c>
      <c r="L73" s="5" t="s">
        <v>7</v>
      </c>
    </row>
    <row r="74" spans="2:12" x14ac:dyDescent="0.3">
      <c r="B74" s="2" t="s">
        <v>190</v>
      </c>
      <c r="C74" s="2" t="s">
        <v>75</v>
      </c>
      <c r="D74" s="2" t="s">
        <v>166</v>
      </c>
      <c r="F74" s="5" t="s">
        <v>43</v>
      </c>
      <c r="G74" s="5" t="s">
        <v>26</v>
      </c>
      <c r="H74" s="5" t="s">
        <v>6</v>
      </c>
      <c r="I74" s="20" t="str">
        <f t="shared" si="13"/>
        <v>HR</v>
      </c>
      <c r="J74" s="12">
        <f t="shared" si="11"/>
        <v>1</v>
      </c>
      <c r="K74" s="20" t="str">
        <f t="shared" si="12"/>
        <v>2015</v>
      </c>
      <c r="L74" s="5" t="s">
        <v>308</v>
      </c>
    </row>
    <row r="75" spans="2:12" x14ac:dyDescent="0.3">
      <c r="B75" s="2" t="s">
        <v>191</v>
      </c>
      <c r="C75" s="2" t="s">
        <v>192</v>
      </c>
      <c r="D75" s="2" t="s">
        <v>166</v>
      </c>
      <c r="F75" s="5" t="s">
        <v>83</v>
      </c>
      <c r="G75" s="5" t="s">
        <v>52</v>
      </c>
      <c r="H75" s="5" t="s">
        <v>6</v>
      </c>
      <c r="I75" s="20" t="str">
        <f t="shared" si="13"/>
        <v>Sales</v>
      </c>
      <c r="J75" s="12">
        <f t="shared" si="11"/>
        <v>1</v>
      </c>
      <c r="K75" s="20" t="str">
        <f t="shared" si="12"/>
        <v>2015</v>
      </c>
      <c r="L75" s="5" t="s">
        <v>7</v>
      </c>
    </row>
    <row r="76" spans="2:12" x14ac:dyDescent="0.3">
      <c r="B76" s="2" t="s">
        <v>193</v>
      </c>
      <c r="C76" s="2" t="s">
        <v>82</v>
      </c>
      <c r="D76" s="2" t="s">
        <v>142</v>
      </c>
      <c r="F76" s="5" t="s">
        <v>83</v>
      </c>
      <c r="G76" s="5" t="s">
        <v>11</v>
      </c>
      <c r="H76" s="5" t="s">
        <v>6</v>
      </c>
      <c r="I76" s="20" t="str">
        <f t="shared" si="13"/>
        <v>Sales</v>
      </c>
      <c r="J76" s="12">
        <f t="shared" si="11"/>
        <v>1</v>
      </c>
      <c r="K76" s="20" t="str">
        <f t="shared" si="12"/>
        <v>2015</v>
      </c>
      <c r="L76" s="5" t="s">
        <v>21</v>
      </c>
    </row>
    <row r="77" spans="2:12" x14ac:dyDescent="0.3">
      <c r="B77" s="2" t="s">
        <v>194</v>
      </c>
      <c r="C77" s="2" t="s">
        <v>70</v>
      </c>
      <c r="D77" s="2" t="s">
        <v>140</v>
      </c>
      <c r="F77" s="5" t="s">
        <v>83</v>
      </c>
      <c r="G77" s="5" t="s">
        <v>59</v>
      </c>
      <c r="H77" s="5" t="s">
        <v>6</v>
      </c>
      <c r="I77" s="20" t="str">
        <f t="shared" si="13"/>
        <v>Sales</v>
      </c>
      <c r="J77" s="12">
        <f t="shared" si="11"/>
        <v>1</v>
      </c>
      <c r="K77" s="20" t="str">
        <f t="shared" si="12"/>
        <v>2015</v>
      </c>
      <c r="L77" s="5" t="s">
        <v>12</v>
      </c>
    </row>
    <row r="78" spans="2:12" x14ac:dyDescent="0.3">
      <c r="B78" s="2" t="s">
        <v>195</v>
      </c>
      <c r="C78" s="2" t="s">
        <v>33</v>
      </c>
      <c r="D78" s="2" t="s">
        <v>144</v>
      </c>
      <c r="F78" s="5" t="s">
        <v>27</v>
      </c>
      <c r="G78" s="5" t="s">
        <v>9</v>
      </c>
      <c r="H78" s="5" t="s">
        <v>6</v>
      </c>
      <c r="I78" s="20" t="str">
        <f t="shared" si="13"/>
        <v>Operations</v>
      </c>
      <c r="J78" s="12">
        <f t="shared" si="11"/>
        <v>1</v>
      </c>
      <c r="K78" s="20" t="str">
        <f t="shared" si="12"/>
        <v>2016</v>
      </c>
      <c r="L78" s="5" t="s">
        <v>308</v>
      </c>
    </row>
    <row r="79" spans="2:12" x14ac:dyDescent="0.3">
      <c r="B79" s="2" t="s">
        <v>196</v>
      </c>
      <c r="C79" s="2" t="s">
        <v>40</v>
      </c>
      <c r="D79" s="2" t="s">
        <v>140</v>
      </c>
      <c r="F79" s="5" t="s">
        <v>27</v>
      </c>
      <c r="G79" s="5" t="s">
        <v>23</v>
      </c>
      <c r="H79" s="5" t="s">
        <v>6</v>
      </c>
      <c r="I79" s="20" t="str">
        <f t="shared" si="13"/>
        <v>Operations</v>
      </c>
      <c r="J79" s="12">
        <f t="shared" si="11"/>
        <v>1</v>
      </c>
      <c r="K79" s="20" t="str">
        <f t="shared" si="12"/>
        <v>2016</v>
      </c>
      <c r="L79" s="5" t="s">
        <v>308</v>
      </c>
    </row>
    <row r="80" spans="2:12" x14ac:dyDescent="0.3">
      <c r="B80" s="2" t="s">
        <v>197</v>
      </c>
      <c r="C80" s="2" t="s">
        <v>198</v>
      </c>
      <c r="D80" s="2" t="s">
        <v>142</v>
      </c>
      <c r="F80" s="5" t="s">
        <v>27</v>
      </c>
      <c r="G80" s="5" t="s">
        <v>61</v>
      </c>
      <c r="H80" s="5" t="s">
        <v>6</v>
      </c>
      <c r="I80" s="20" t="str">
        <f t="shared" si="13"/>
        <v>Operations</v>
      </c>
      <c r="J80" s="12">
        <f t="shared" si="11"/>
        <v>1</v>
      </c>
      <c r="K80" s="20" t="str">
        <f t="shared" si="12"/>
        <v>2015</v>
      </c>
      <c r="L80" s="5" t="s">
        <v>21</v>
      </c>
    </row>
    <row r="81" spans="2:12" x14ac:dyDescent="0.3">
      <c r="B81" s="2" t="s">
        <v>199</v>
      </c>
      <c r="C81" s="2" t="s">
        <v>37</v>
      </c>
      <c r="D81" s="2" t="s">
        <v>166</v>
      </c>
      <c r="F81" s="5" t="s">
        <v>27</v>
      </c>
      <c r="G81" s="5" t="s">
        <v>11</v>
      </c>
      <c r="H81" s="5" t="s">
        <v>6</v>
      </c>
      <c r="I81" s="20" t="str">
        <f t="shared" si="13"/>
        <v>Operations</v>
      </c>
      <c r="J81" s="12">
        <f t="shared" si="11"/>
        <v>1</v>
      </c>
      <c r="K81" s="20" t="str">
        <f t="shared" si="12"/>
        <v>2015</v>
      </c>
      <c r="L81" s="5" t="s">
        <v>32</v>
      </c>
    </row>
    <row r="82" spans="2:12" x14ac:dyDescent="0.3">
      <c r="B82" s="2" t="s">
        <v>200</v>
      </c>
      <c r="C82" s="2" t="s">
        <v>10</v>
      </c>
      <c r="D82" s="2" t="s">
        <v>151</v>
      </c>
      <c r="F82" s="5" t="s">
        <v>85</v>
      </c>
      <c r="G82" s="5" t="s">
        <v>16</v>
      </c>
      <c r="H82" s="5" t="s">
        <v>6</v>
      </c>
      <c r="I82" s="20" t="str">
        <f t="shared" si="13"/>
        <v>Finance</v>
      </c>
      <c r="J82" s="12">
        <f t="shared" si="11"/>
        <v>1</v>
      </c>
      <c r="K82" s="20" t="str">
        <f t="shared" si="12"/>
        <v>2015</v>
      </c>
      <c r="L82" s="5" t="s">
        <v>7</v>
      </c>
    </row>
    <row r="83" spans="2:12" x14ac:dyDescent="0.3">
      <c r="B83" s="2" t="s">
        <v>201</v>
      </c>
      <c r="C83" s="2" t="s">
        <v>53</v>
      </c>
      <c r="D83" s="2" t="s">
        <v>140</v>
      </c>
      <c r="F83" s="5" t="s">
        <v>13</v>
      </c>
      <c r="G83" s="5" t="s">
        <v>14</v>
      </c>
      <c r="H83" s="5" t="s">
        <v>6</v>
      </c>
      <c r="I83" s="20" t="str">
        <f t="shared" si="13"/>
        <v>Finance</v>
      </c>
      <c r="J83" s="12">
        <f t="shared" si="11"/>
        <v>1.5</v>
      </c>
      <c r="K83" s="20" t="str">
        <f t="shared" si="12"/>
        <v>2015</v>
      </c>
      <c r="L83" s="5" t="s">
        <v>308</v>
      </c>
    </row>
    <row r="84" spans="2:12" x14ac:dyDescent="0.3">
      <c r="B84" s="2" t="s">
        <v>202</v>
      </c>
      <c r="C84" s="2" t="s">
        <v>74</v>
      </c>
      <c r="D84" s="2" t="s">
        <v>142</v>
      </c>
      <c r="F84" s="5" t="s">
        <v>13</v>
      </c>
      <c r="G84" s="5" t="s">
        <v>5</v>
      </c>
      <c r="H84" s="5" t="s">
        <v>6</v>
      </c>
      <c r="I84" s="20" t="str">
        <f t="shared" si="13"/>
        <v>Finance</v>
      </c>
      <c r="J84" s="12">
        <f t="shared" si="11"/>
        <v>1</v>
      </c>
      <c r="K84" s="20" t="str">
        <f t="shared" si="12"/>
        <v>2015</v>
      </c>
      <c r="L84" s="5" t="s">
        <v>12</v>
      </c>
    </row>
    <row r="85" spans="2:12" x14ac:dyDescent="0.3">
      <c r="B85" s="2" t="s">
        <v>203</v>
      </c>
      <c r="C85" s="2" t="s">
        <v>204</v>
      </c>
      <c r="D85" s="2" t="s">
        <v>151</v>
      </c>
      <c r="F85" s="5" t="s">
        <v>90</v>
      </c>
      <c r="G85" s="5" t="s">
        <v>9</v>
      </c>
      <c r="H85" s="5" t="s">
        <v>6</v>
      </c>
      <c r="I85" s="20" t="str">
        <f t="shared" si="13"/>
        <v>Operations</v>
      </c>
      <c r="J85" s="12">
        <f t="shared" si="11"/>
        <v>1</v>
      </c>
      <c r="K85" s="20" t="str">
        <f t="shared" si="12"/>
        <v>2016</v>
      </c>
      <c r="L85" s="5" t="s">
        <v>308</v>
      </c>
    </row>
    <row r="86" spans="2:12" x14ac:dyDescent="0.3">
      <c r="B86" s="2" t="s">
        <v>205</v>
      </c>
      <c r="C86" s="2" t="s">
        <v>206</v>
      </c>
      <c r="D86" s="2" t="s">
        <v>140</v>
      </c>
      <c r="F86" s="5" t="s">
        <v>38</v>
      </c>
      <c r="G86" s="5" t="s">
        <v>39</v>
      </c>
      <c r="H86" s="5" t="s">
        <v>6</v>
      </c>
      <c r="I86" s="20" t="str">
        <f t="shared" si="13"/>
        <v>Finance</v>
      </c>
      <c r="J86" s="12">
        <f t="shared" si="11"/>
        <v>0.5</v>
      </c>
      <c r="K86" s="20" t="str">
        <f t="shared" si="12"/>
        <v>2015</v>
      </c>
      <c r="L86" s="5" t="s">
        <v>7</v>
      </c>
    </row>
    <row r="87" spans="2:12" x14ac:dyDescent="0.3">
      <c r="B87" s="2" t="s">
        <v>207</v>
      </c>
      <c r="C87" s="2" t="s">
        <v>208</v>
      </c>
      <c r="D87" s="2" t="s">
        <v>142</v>
      </c>
      <c r="F87" s="5" t="s">
        <v>38</v>
      </c>
      <c r="G87" s="5" t="s">
        <v>5</v>
      </c>
      <c r="H87" s="5" t="s">
        <v>89</v>
      </c>
      <c r="I87" s="20" t="str">
        <f t="shared" si="13"/>
        <v>Finance</v>
      </c>
      <c r="J87" s="12">
        <f t="shared" si="11"/>
        <v>1</v>
      </c>
      <c r="K87" s="20" t="str">
        <f t="shared" si="12"/>
        <v>2015</v>
      </c>
      <c r="L87" s="5" t="s">
        <v>32</v>
      </c>
    </row>
    <row r="88" spans="2:12" x14ac:dyDescent="0.3">
      <c r="B88" s="2" t="s">
        <v>209</v>
      </c>
      <c r="C88" s="2" t="s">
        <v>42</v>
      </c>
      <c r="D88" s="2" t="s">
        <v>140</v>
      </c>
      <c r="F88" s="5" t="s">
        <v>38</v>
      </c>
      <c r="G88" s="5" t="s">
        <v>46</v>
      </c>
      <c r="H88" s="5" t="s">
        <v>6</v>
      </c>
      <c r="I88" s="20" t="str">
        <f t="shared" si="13"/>
        <v>Finance</v>
      </c>
      <c r="J88" s="12">
        <f t="shared" si="11"/>
        <v>0.5</v>
      </c>
      <c r="K88" s="20" t="str">
        <f t="shared" si="12"/>
        <v>2015</v>
      </c>
      <c r="L88" s="5" t="s">
        <v>12</v>
      </c>
    </row>
    <row r="89" spans="2:12" x14ac:dyDescent="0.3">
      <c r="B89" s="2" t="s">
        <v>210</v>
      </c>
      <c r="C89" s="2" t="s">
        <v>211</v>
      </c>
      <c r="D89" s="2" t="s">
        <v>151</v>
      </c>
      <c r="F89" s="5" t="s">
        <v>38</v>
      </c>
      <c r="G89" s="5" t="s">
        <v>23</v>
      </c>
      <c r="H89" s="5" t="s">
        <v>6</v>
      </c>
      <c r="I89" s="20" t="str">
        <f t="shared" si="13"/>
        <v>Finance</v>
      </c>
      <c r="J89" s="12">
        <f t="shared" si="11"/>
        <v>1</v>
      </c>
      <c r="K89" s="20" t="str">
        <f t="shared" si="12"/>
        <v>2016</v>
      </c>
      <c r="L89" s="5" t="s">
        <v>308</v>
      </c>
    </row>
    <row r="90" spans="2:12" x14ac:dyDescent="0.3">
      <c r="B90" s="2" t="s">
        <v>212</v>
      </c>
      <c r="C90" s="2" t="s">
        <v>213</v>
      </c>
      <c r="D90" s="2" t="s">
        <v>148</v>
      </c>
      <c r="F90" s="5" t="s">
        <v>62</v>
      </c>
      <c r="G90" s="5" t="s">
        <v>39</v>
      </c>
      <c r="H90" s="5" t="s">
        <v>6</v>
      </c>
      <c r="I90" s="20" t="str">
        <f t="shared" si="13"/>
        <v>Marketing</v>
      </c>
      <c r="J90" s="12">
        <f t="shared" si="11"/>
        <v>0.5</v>
      </c>
      <c r="K90" s="20" t="str">
        <f t="shared" si="12"/>
        <v>2015</v>
      </c>
      <c r="L90" s="5" t="s">
        <v>12</v>
      </c>
    </row>
    <row r="91" spans="2:12" x14ac:dyDescent="0.3">
      <c r="B91" s="2" t="s">
        <v>214</v>
      </c>
      <c r="C91" s="2" t="s">
        <v>36</v>
      </c>
      <c r="D91" s="2" t="s">
        <v>148</v>
      </c>
      <c r="F91" s="5" t="s">
        <v>25</v>
      </c>
      <c r="G91" s="5" t="s">
        <v>26</v>
      </c>
      <c r="H91" s="5" t="s">
        <v>6</v>
      </c>
      <c r="I91" s="20" t="str">
        <f t="shared" si="13"/>
        <v>IT</v>
      </c>
      <c r="J91" s="12">
        <f t="shared" si="11"/>
        <v>1</v>
      </c>
      <c r="K91" s="20" t="str">
        <f t="shared" si="12"/>
        <v>2015</v>
      </c>
      <c r="L91" s="5" t="s">
        <v>308</v>
      </c>
    </row>
    <row r="92" spans="2:12" x14ac:dyDescent="0.3">
      <c r="B92" s="2" t="s">
        <v>215</v>
      </c>
      <c r="C92" s="2" t="s">
        <v>58</v>
      </c>
      <c r="D92" s="2" t="s">
        <v>148</v>
      </c>
      <c r="F92" s="5" t="s">
        <v>25</v>
      </c>
      <c r="G92" s="5" t="s">
        <v>46</v>
      </c>
      <c r="H92" s="5" t="s">
        <v>6</v>
      </c>
      <c r="I92" s="20" t="str">
        <f t="shared" si="13"/>
        <v>IT</v>
      </c>
      <c r="J92" s="12">
        <f t="shared" si="11"/>
        <v>0.5</v>
      </c>
      <c r="K92" s="20" t="str">
        <f t="shared" si="12"/>
        <v>2015</v>
      </c>
      <c r="L92" s="5" t="s">
        <v>7</v>
      </c>
    </row>
    <row r="93" spans="2:12" x14ac:dyDescent="0.3">
      <c r="B93" s="2" t="s">
        <v>216</v>
      </c>
      <c r="C93" s="2" t="s">
        <v>45</v>
      </c>
      <c r="D93" s="2" t="s">
        <v>140</v>
      </c>
      <c r="F93" s="5" t="s">
        <v>20</v>
      </c>
      <c r="G93" s="5" t="s">
        <v>5</v>
      </c>
      <c r="H93" s="5" t="s">
        <v>6</v>
      </c>
      <c r="I93" s="20" t="str">
        <f t="shared" si="13"/>
        <v>Sales</v>
      </c>
      <c r="J93" s="12">
        <f t="shared" si="11"/>
        <v>1</v>
      </c>
      <c r="K93" s="20" t="str">
        <f t="shared" si="12"/>
        <v>2015</v>
      </c>
      <c r="L93" s="5" t="s">
        <v>21</v>
      </c>
    </row>
    <row r="94" spans="2:12" x14ac:dyDescent="0.3">
      <c r="B94" s="2" t="s">
        <v>217</v>
      </c>
      <c r="C94" s="2" t="s">
        <v>79</v>
      </c>
      <c r="D94" s="2" t="s">
        <v>166</v>
      </c>
      <c r="F94" s="5" t="s">
        <v>20</v>
      </c>
      <c r="G94" s="5" t="s">
        <v>29</v>
      </c>
      <c r="H94" s="5" t="s">
        <v>6</v>
      </c>
      <c r="I94" s="20" t="str">
        <f t="shared" si="13"/>
        <v>Sales</v>
      </c>
      <c r="J94" s="12">
        <f t="shared" si="11"/>
        <v>1</v>
      </c>
      <c r="K94" s="20" t="str">
        <f t="shared" si="12"/>
        <v>2015</v>
      </c>
      <c r="L94" s="5" t="s">
        <v>12</v>
      </c>
    </row>
    <row r="95" spans="2:12" x14ac:dyDescent="0.3">
      <c r="B95" s="2" t="s">
        <v>218</v>
      </c>
      <c r="C95" s="2" t="s">
        <v>67</v>
      </c>
      <c r="D95" s="2" t="s">
        <v>140</v>
      </c>
      <c r="F95" s="5" t="s">
        <v>20</v>
      </c>
      <c r="G95" s="5" t="s">
        <v>39</v>
      </c>
      <c r="H95" s="5" t="s">
        <v>6</v>
      </c>
      <c r="I95" s="20" t="str">
        <f t="shared" si="13"/>
        <v>Sales</v>
      </c>
      <c r="J95" s="12">
        <f t="shared" si="11"/>
        <v>0.5</v>
      </c>
      <c r="K95" s="20" t="str">
        <f t="shared" si="12"/>
        <v>2015</v>
      </c>
      <c r="L95" s="5" t="s">
        <v>7</v>
      </c>
    </row>
    <row r="96" spans="2:12" x14ac:dyDescent="0.3">
      <c r="B96" s="2" t="s">
        <v>219</v>
      </c>
      <c r="C96" s="2" t="s">
        <v>220</v>
      </c>
      <c r="D96" s="2" t="s">
        <v>151</v>
      </c>
      <c r="F96" s="5" t="s">
        <v>20</v>
      </c>
      <c r="G96" s="5" t="s">
        <v>5</v>
      </c>
      <c r="H96" s="5" t="s">
        <v>6</v>
      </c>
      <c r="I96" s="20" t="str">
        <f t="shared" si="13"/>
        <v>Sales</v>
      </c>
      <c r="J96" s="12">
        <f t="shared" si="11"/>
        <v>1</v>
      </c>
      <c r="K96" s="20" t="str">
        <f t="shared" si="12"/>
        <v>2015</v>
      </c>
      <c r="L96" s="5" t="s">
        <v>12</v>
      </c>
    </row>
    <row r="97" spans="2:12" x14ac:dyDescent="0.3">
      <c r="B97" s="2" t="s">
        <v>221</v>
      </c>
      <c r="C97" s="2" t="s">
        <v>15</v>
      </c>
      <c r="D97" s="2" t="s">
        <v>144</v>
      </c>
      <c r="F97" s="36" t="s">
        <v>20</v>
      </c>
      <c r="G97" s="36" t="s">
        <v>54</v>
      </c>
      <c r="H97" s="36" t="s">
        <v>89</v>
      </c>
      <c r="I97" s="20" t="str">
        <f t="shared" si="13"/>
        <v>Sales</v>
      </c>
      <c r="J97" s="12">
        <f t="shared" si="11"/>
        <v>1</v>
      </c>
      <c r="K97" s="20" t="str">
        <f t="shared" si="12"/>
        <v>2015</v>
      </c>
      <c r="L97" s="5" t="s">
        <v>12</v>
      </c>
    </row>
    <row r="98" spans="2:12" x14ac:dyDescent="0.3">
      <c r="B98" s="2" t="s">
        <v>222</v>
      </c>
      <c r="C98" s="2" t="s">
        <v>223</v>
      </c>
      <c r="D98" s="2" t="s">
        <v>142</v>
      </c>
      <c r="F98" s="5" t="s">
        <v>20</v>
      </c>
      <c r="G98" s="5" t="s">
        <v>5</v>
      </c>
      <c r="H98" s="5" t="s">
        <v>6</v>
      </c>
      <c r="I98" s="20" t="str">
        <f t="shared" si="13"/>
        <v>Sales</v>
      </c>
      <c r="J98" s="12">
        <f t="shared" si="11"/>
        <v>1</v>
      </c>
      <c r="K98" s="20" t="str">
        <f t="shared" si="12"/>
        <v>2015</v>
      </c>
      <c r="L98" s="5" t="s">
        <v>17</v>
      </c>
    </row>
    <row r="99" spans="2:12" x14ac:dyDescent="0.3">
      <c r="B99" s="2" t="s">
        <v>224</v>
      </c>
      <c r="C99" s="2" t="s">
        <v>87</v>
      </c>
      <c r="D99" s="2" t="s">
        <v>151</v>
      </c>
      <c r="F99" s="5" t="s">
        <v>35</v>
      </c>
      <c r="G99" s="5" t="s">
        <v>31</v>
      </c>
      <c r="H99" s="5" t="s">
        <v>6</v>
      </c>
      <c r="I99" s="20" t="str">
        <f t="shared" si="13"/>
        <v>Finance</v>
      </c>
      <c r="J99" s="12">
        <f t="shared" si="11"/>
        <v>1</v>
      </c>
      <c r="K99" s="20" t="str">
        <f t="shared" si="12"/>
        <v>2015</v>
      </c>
      <c r="L99" s="5" t="s">
        <v>12</v>
      </c>
    </row>
    <row r="100" spans="2:12" x14ac:dyDescent="0.3">
      <c r="B100" s="2" t="s">
        <v>225</v>
      </c>
      <c r="C100" s="2" t="s">
        <v>226</v>
      </c>
      <c r="D100" s="2" t="s">
        <v>140</v>
      </c>
      <c r="F100" s="5" t="s">
        <v>47</v>
      </c>
      <c r="G100" s="5" t="s">
        <v>46</v>
      </c>
      <c r="H100" s="5" t="s">
        <v>6</v>
      </c>
      <c r="I100" s="20" t="str">
        <f t="shared" si="13"/>
        <v>Finance</v>
      </c>
      <c r="J100" s="12">
        <f t="shared" si="11"/>
        <v>0.5</v>
      </c>
      <c r="K100" s="20" t="str">
        <f t="shared" si="12"/>
        <v>2015</v>
      </c>
      <c r="L100" s="5" t="s">
        <v>32</v>
      </c>
    </row>
    <row r="101" spans="2:12" x14ac:dyDescent="0.3">
      <c r="B101" s="2" t="s">
        <v>227</v>
      </c>
      <c r="C101" s="2" t="s">
        <v>95</v>
      </c>
      <c r="D101" s="2" t="s">
        <v>166</v>
      </c>
      <c r="F101" s="5" t="s">
        <v>47</v>
      </c>
      <c r="G101" s="5" t="s">
        <v>23</v>
      </c>
      <c r="H101" s="5" t="s">
        <v>6</v>
      </c>
      <c r="I101" s="20" t="str">
        <f t="shared" si="13"/>
        <v>Finance</v>
      </c>
      <c r="J101" s="12">
        <f t="shared" si="11"/>
        <v>1</v>
      </c>
      <c r="K101" s="20" t="str">
        <f t="shared" si="12"/>
        <v>2016</v>
      </c>
      <c r="L101" s="5" t="s">
        <v>308</v>
      </c>
    </row>
    <row r="102" spans="2:12" x14ac:dyDescent="0.3">
      <c r="B102" s="2" t="s">
        <v>228</v>
      </c>
      <c r="C102" s="2" t="s">
        <v>229</v>
      </c>
      <c r="D102" s="2" t="s">
        <v>140</v>
      </c>
      <c r="F102" s="5" t="s">
        <v>47</v>
      </c>
      <c r="G102" s="5" t="s">
        <v>52</v>
      </c>
      <c r="H102" s="5" t="s">
        <v>6</v>
      </c>
      <c r="I102" s="20" t="str">
        <f t="shared" si="13"/>
        <v>Finance</v>
      </c>
      <c r="J102" s="12">
        <f t="shared" si="11"/>
        <v>1</v>
      </c>
      <c r="K102" s="20" t="str">
        <f t="shared" si="12"/>
        <v>2015</v>
      </c>
      <c r="L102" s="5" t="s">
        <v>17</v>
      </c>
    </row>
    <row r="103" spans="2:12" x14ac:dyDescent="0.3">
      <c r="B103" s="2" t="s">
        <v>230</v>
      </c>
      <c r="C103" s="2" t="s">
        <v>86</v>
      </c>
      <c r="D103" s="2" t="s">
        <v>166</v>
      </c>
      <c r="F103" s="5" t="s">
        <v>47</v>
      </c>
      <c r="G103" s="5" t="s">
        <v>19</v>
      </c>
      <c r="H103" s="5" t="s">
        <v>6</v>
      </c>
      <c r="I103" s="20" t="str">
        <f t="shared" si="13"/>
        <v>Finance</v>
      </c>
      <c r="J103" s="12">
        <f t="shared" si="11"/>
        <v>1</v>
      </c>
      <c r="K103" s="20" t="str">
        <f t="shared" si="12"/>
        <v>2015</v>
      </c>
      <c r="L103" s="5" t="s">
        <v>7</v>
      </c>
    </row>
    <row r="104" spans="2:12" x14ac:dyDescent="0.3">
      <c r="B104" s="2" t="s">
        <v>231</v>
      </c>
      <c r="C104" s="2" t="s">
        <v>232</v>
      </c>
      <c r="D104" s="2" t="s">
        <v>151</v>
      </c>
      <c r="F104" s="5" t="s">
        <v>47</v>
      </c>
      <c r="G104" s="5" t="s">
        <v>59</v>
      </c>
      <c r="H104" s="5" t="s">
        <v>6</v>
      </c>
      <c r="I104" s="20" t="str">
        <f t="shared" si="13"/>
        <v>Finance</v>
      </c>
      <c r="J104" s="12">
        <f t="shared" ref="J104:J135" si="14">IF(G104=$P$40,$T$40,
IF(G104=$P$41,$T$41,
IF(G104=$P$42,$T$42,
IF(G104=$P$43,$T$43,
IF(G104=$P$44,$T$44,
IF(G104=$P$45,$T$45,
IF(G104=$P$46,$T$46,
IF(G104=$P$47,$T$47,
IF(G104=$P$48,$T$48,
IF(G104=$P$49,$T$49,
IF(G104=$P$50,$T$50,
IF(G104=$P$51,$T$51,
IF(G104=$P$52,$T$52,
IF(G104=$P$53,$T$53,
IF(G104=$P$54,$T$54,
IF(G104=$P$55,$T$55,
IF(G104=$P$56,$T$56,
IF(G104=$P$57,$T$57,
IF(G104=$P$58,$T$58,
IF(G104=$P$59,$T$59,
IF(G104=$P$60,$T$60,
"no info")))))))))))))))))))))</f>
        <v>1</v>
      </c>
      <c r="K104" s="20" t="str">
        <f t="shared" ref="K104:K135" si="15">IF((OR($P$40=G104,$P$41=G104,$P$42=G104,$P$43=G104,$P$44=G104,$P$45=G104,$P$46=G104,$P$47=G104,$P$48=G104,$P$49=G104,$P$50=G104,$P$51=G104,$P$52=G104,$P$53=G104,$P$54=G104,$P$55=G104,$P$56=G104,$P$57=G104,$P$58=G104)),$S$40,"2016")</f>
        <v>2015</v>
      </c>
      <c r="L104" s="5" t="s">
        <v>32</v>
      </c>
    </row>
    <row r="105" spans="2:12" x14ac:dyDescent="0.3">
      <c r="B105" s="2" t="s">
        <v>233</v>
      </c>
      <c r="C105" s="2" t="s">
        <v>49</v>
      </c>
      <c r="D105" s="2" t="s">
        <v>144</v>
      </c>
      <c r="F105" s="5" t="s">
        <v>47</v>
      </c>
      <c r="G105" s="5" t="s">
        <v>9</v>
      </c>
      <c r="H105" s="5" t="s">
        <v>6</v>
      </c>
      <c r="I105" s="20" t="str">
        <f t="shared" ref="I105:I141" si="16">IF(F105=$C$40,$D$40,
IF(F105=$C$41,$D$41,
IF(F105=$C$42,$D$42,
IF(F105=$C$43,$D$43,
IF(F105=$C$44,$D$44,
IF(F105=$C$45,$D$45,
IF(F105=$C$46,$D$46,
IF(F105=$C$47,$D$47,
IF(F105=$C$48,$D$48,
IF(F105=$C$49,$D$49,
IF(F105=$C$50,$D$50,
IF(F105=$C$51,$D$51,
IF(F105=$C$52,$D$52,
IF(F105=$C$53,$D$53,
IF(F105=$C$54,$D$54,
IF(F105=$C$55,$D$55,
IF(F105=$C$56,$D$56,
IF(F105=$C$57,$D$57,
IF(F105=$C$58,$D$58,
IF(F105=$C$59,$D$59,
IF(F105=$C$60,$D$60,
IF(F105=$C$61,$D$61,
IF(F105=$C$62,$D$62,
IF(F105=$C$63,$D$63,
IF(F105=$C$64,$D$64,
IF(F105=$C$65,$D$65,
IF(F105=$C$66,$D$66,
IF(F105=$C$67,$D$67,
IF(F105=$C$68,$D$68,
IF(F105=$C$69,$D$69,
IF(F105=$C$70,$D$70,
IF(F105=$C$71,$D$71,
IF(F105=$C$72,$D$72,
IF(F105=$C$73,$D$73,
IF(F105=$C$74,$D$74,
IF(F105=$C$75,$D$75,
IF(F105=$C$76,$D$76,
IF(F105=$C$77,$D$77,
IF(F105=$C$78,$D$78,
IF(F105=$C$79,$D$79,
IF(F105=$C$80,$D$80,
IF(F105=$C$81,$D$81,
IF(F105=$C$82,$D$82,
IF(F105=$C$83,$D$83,
IF(F105=$C$84,$D$84,
IF(F105=$C$85,$D$85,
IF(F105=$C$86,$D$86,
IF(F105=$C$87,$D$87,
IF(F105=$C$88,$D$88,
IF(F105=$C$89,$D$89,
IF(F105=$C$90,$D$90,
IF(F105=$C$91,$D$91,
IF(F105=$C$92,$D$92,
IF(F105=$C$93,$D$93,
IF(F105=$C$94,$D$94,
IF(F105=$C$95,$D$95,
IF(F105=$C$96,$D$96,
IF(F105=$C$97,$D$97,
IF(F105=$C$98,$D$98,
IF(F105=$C$99,$D$99,
"No Department"))))))))))))))))))))))))))))))))))))))))))))))))))))))))))))</f>
        <v>Finance</v>
      </c>
      <c r="J105" s="12">
        <f t="shared" si="14"/>
        <v>1</v>
      </c>
      <c r="K105" s="20" t="str">
        <f t="shared" si="15"/>
        <v>2016</v>
      </c>
      <c r="L105" s="5" t="s">
        <v>308</v>
      </c>
    </row>
    <row r="106" spans="2:12" x14ac:dyDescent="0.3">
      <c r="B106" s="2" t="s">
        <v>234</v>
      </c>
      <c r="C106" s="2" t="s">
        <v>34</v>
      </c>
      <c r="D106" s="2" t="s">
        <v>166</v>
      </c>
      <c r="F106" s="5" t="s">
        <v>75</v>
      </c>
      <c r="G106" s="5" t="s">
        <v>76</v>
      </c>
      <c r="H106" s="5" t="s">
        <v>6</v>
      </c>
      <c r="I106" s="20" t="str">
        <f t="shared" si="16"/>
        <v>HR</v>
      </c>
      <c r="J106" s="12">
        <f t="shared" si="14"/>
        <v>1</v>
      </c>
      <c r="K106" s="20" t="str">
        <f t="shared" si="15"/>
        <v>2015</v>
      </c>
      <c r="L106" s="5" t="s">
        <v>308</v>
      </c>
    </row>
    <row r="107" spans="2:12" x14ac:dyDescent="0.3">
      <c r="B107" s="2" t="s">
        <v>235</v>
      </c>
      <c r="C107" s="2" t="s">
        <v>88</v>
      </c>
      <c r="D107" s="2" t="s">
        <v>151</v>
      </c>
      <c r="F107" s="5" t="s">
        <v>82</v>
      </c>
      <c r="G107" s="5" t="s">
        <v>19</v>
      </c>
      <c r="H107" s="5" t="s">
        <v>6</v>
      </c>
      <c r="I107" s="20" t="str">
        <f t="shared" si="16"/>
        <v>Marketing</v>
      </c>
      <c r="J107" s="12">
        <f t="shared" si="14"/>
        <v>1</v>
      </c>
      <c r="K107" s="20" t="str">
        <f t="shared" si="15"/>
        <v>2015</v>
      </c>
      <c r="L107" s="5" t="s">
        <v>17</v>
      </c>
    </row>
    <row r="108" spans="2:12" x14ac:dyDescent="0.3">
      <c r="B108" s="2" t="s">
        <v>236</v>
      </c>
      <c r="C108" s="2" t="s">
        <v>68</v>
      </c>
      <c r="D108" s="2" t="s">
        <v>142</v>
      </c>
      <c r="F108" s="5" t="s">
        <v>70</v>
      </c>
      <c r="G108" s="5" t="s">
        <v>39</v>
      </c>
      <c r="H108" s="5" t="s">
        <v>6</v>
      </c>
      <c r="I108" s="20" t="str">
        <f t="shared" si="16"/>
        <v>Finance</v>
      </c>
      <c r="J108" s="12">
        <f t="shared" si="14"/>
        <v>0.5</v>
      </c>
      <c r="K108" s="20" t="str">
        <f t="shared" si="15"/>
        <v>2015</v>
      </c>
      <c r="L108" s="5" t="s">
        <v>17</v>
      </c>
    </row>
    <row r="109" spans="2:12" x14ac:dyDescent="0.3">
      <c r="B109" s="2" t="s">
        <v>237</v>
      </c>
      <c r="C109" s="2" t="s">
        <v>238</v>
      </c>
      <c r="D109" s="2" t="s">
        <v>151</v>
      </c>
      <c r="F109" s="5" t="s">
        <v>70</v>
      </c>
      <c r="G109" s="5" t="s">
        <v>46</v>
      </c>
      <c r="H109" s="5" t="s">
        <v>6</v>
      </c>
      <c r="I109" s="20" t="str">
        <f t="shared" si="16"/>
        <v>Finance</v>
      </c>
      <c r="J109" s="12">
        <f t="shared" si="14"/>
        <v>0.5</v>
      </c>
      <c r="K109" s="20" t="str">
        <f t="shared" si="15"/>
        <v>2015</v>
      </c>
      <c r="L109" s="5" t="s">
        <v>17</v>
      </c>
    </row>
    <row r="110" spans="2:12" x14ac:dyDescent="0.3">
      <c r="B110" s="2" t="s">
        <v>239</v>
      </c>
      <c r="C110" s="2" t="s">
        <v>240</v>
      </c>
      <c r="D110" s="2" t="s">
        <v>140</v>
      </c>
      <c r="F110" s="5" t="s">
        <v>70</v>
      </c>
      <c r="G110" s="5" t="s">
        <v>26</v>
      </c>
      <c r="H110" s="5" t="s">
        <v>6</v>
      </c>
      <c r="I110" s="20" t="str">
        <f t="shared" si="16"/>
        <v>Finance</v>
      </c>
      <c r="J110" s="12">
        <f t="shared" si="14"/>
        <v>1</v>
      </c>
      <c r="K110" s="20" t="str">
        <f t="shared" si="15"/>
        <v>2015</v>
      </c>
      <c r="L110" s="5" t="s">
        <v>308</v>
      </c>
    </row>
    <row r="111" spans="2:12" x14ac:dyDescent="0.3">
      <c r="B111" s="2" t="s">
        <v>241</v>
      </c>
      <c r="C111" s="2" t="s">
        <v>64</v>
      </c>
      <c r="D111" s="2" t="s">
        <v>142</v>
      </c>
      <c r="F111" s="5" t="s">
        <v>33</v>
      </c>
      <c r="G111" s="5" t="s">
        <v>14</v>
      </c>
      <c r="H111" s="5" t="s">
        <v>6</v>
      </c>
      <c r="I111" s="20" t="str">
        <f t="shared" si="16"/>
        <v>Sales</v>
      </c>
      <c r="J111" s="12">
        <f t="shared" si="14"/>
        <v>1.5</v>
      </c>
      <c r="K111" s="20" t="str">
        <f t="shared" si="15"/>
        <v>2015</v>
      </c>
      <c r="L111" s="5" t="s">
        <v>308</v>
      </c>
    </row>
    <row r="112" spans="2:12" x14ac:dyDescent="0.3">
      <c r="B112" s="2" t="s">
        <v>242</v>
      </c>
      <c r="C112" s="2" t="s">
        <v>81</v>
      </c>
      <c r="D112" s="2" t="s">
        <v>140</v>
      </c>
      <c r="F112" s="5" t="s">
        <v>40</v>
      </c>
      <c r="G112" s="5" t="s">
        <v>16</v>
      </c>
      <c r="H112" s="5" t="s">
        <v>6</v>
      </c>
      <c r="I112" s="20" t="str">
        <f t="shared" si="16"/>
        <v>Finance</v>
      </c>
      <c r="J112" s="12">
        <f t="shared" si="14"/>
        <v>1</v>
      </c>
      <c r="K112" s="20" t="str">
        <f t="shared" si="15"/>
        <v>2015</v>
      </c>
      <c r="L112" s="5" t="s">
        <v>17</v>
      </c>
    </row>
    <row r="113" spans="2:12" x14ac:dyDescent="0.3">
      <c r="B113" s="2" t="s">
        <v>243</v>
      </c>
      <c r="C113" s="2" t="s">
        <v>66</v>
      </c>
      <c r="D113" s="2" t="s">
        <v>151</v>
      </c>
      <c r="F113" s="5" t="s">
        <v>40</v>
      </c>
      <c r="G113" s="5" t="s">
        <v>11</v>
      </c>
      <c r="H113" s="5" t="s">
        <v>6</v>
      </c>
      <c r="I113" s="20" t="str">
        <f t="shared" si="16"/>
        <v>Finance</v>
      </c>
      <c r="J113" s="12">
        <f t="shared" si="14"/>
        <v>1</v>
      </c>
      <c r="K113" s="20" t="str">
        <f t="shared" si="15"/>
        <v>2015</v>
      </c>
      <c r="L113" s="5" t="s">
        <v>21</v>
      </c>
    </row>
    <row r="114" spans="2:12" x14ac:dyDescent="0.3">
      <c r="B114" s="2" t="s">
        <v>244</v>
      </c>
      <c r="C114" s="2" t="s">
        <v>245</v>
      </c>
      <c r="D114" s="2" t="s">
        <v>148</v>
      </c>
      <c r="F114" s="5" t="s">
        <v>37</v>
      </c>
      <c r="G114" s="5" t="s">
        <v>29</v>
      </c>
      <c r="H114" s="5" t="s">
        <v>6</v>
      </c>
      <c r="I114" s="20" t="str">
        <f t="shared" si="16"/>
        <v>HR</v>
      </c>
      <c r="J114" s="12">
        <f t="shared" si="14"/>
        <v>1</v>
      </c>
      <c r="K114" s="20" t="str">
        <f t="shared" si="15"/>
        <v>2015</v>
      </c>
      <c r="L114" s="5" t="s">
        <v>32</v>
      </c>
    </row>
    <row r="115" spans="2:12" x14ac:dyDescent="0.3">
      <c r="B115" s="2" t="s">
        <v>246</v>
      </c>
      <c r="C115" s="2" t="s">
        <v>92</v>
      </c>
      <c r="D115" s="2" t="s">
        <v>166</v>
      </c>
      <c r="F115" s="5" t="s">
        <v>37</v>
      </c>
      <c r="G115" s="5" t="s">
        <v>5</v>
      </c>
      <c r="H115" s="5" t="s">
        <v>6</v>
      </c>
      <c r="I115" s="20" t="str">
        <f t="shared" si="16"/>
        <v>HR</v>
      </c>
      <c r="J115" s="12">
        <f t="shared" si="14"/>
        <v>1</v>
      </c>
      <c r="K115" s="20" t="str">
        <f t="shared" si="15"/>
        <v>2015</v>
      </c>
      <c r="L115" s="5" t="s">
        <v>21</v>
      </c>
    </row>
    <row r="116" spans="2:12" x14ac:dyDescent="0.3">
      <c r="B116" s="2" t="s">
        <v>247</v>
      </c>
      <c r="C116" s="2" t="s">
        <v>18</v>
      </c>
      <c r="D116" s="2" t="s">
        <v>144</v>
      </c>
      <c r="F116" s="5" t="s">
        <v>37</v>
      </c>
      <c r="G116" s="5" t="s">
        <v>61</v>
      </c>
      <c r="H116" s="5" t="s">
        <v>6</v>
      </c>
      <c r="I116" s="20" t="str">
        <f t="shared" si="16"/>
        <v>HR</v>
      </c>
      <c r="J116" s="12">
        <f t="shared" si="14"/>
        <v>1</v>
      </c>
      <c r="K116" s="20" t="str">
        <f t="shared" si="15"/>
        <v>2015</v>
      </c>
      <c r="L116" s="5" t="s">
        <v>12</v>
      </c>
    </row>
    <row r="117" spans="2:12" x14ac:dyDescent="0.3">
      <c r="B117" s="2" t="s">
        <v>248</v>
      </c>
      <c r="C117" s="2" t="s">
        <v>55</v>
      </c>
      <c r="D117" s="2" t="s">
        <v>151</v>
      </c>
      <c r="F117" s="5" t="s">
        <v>10</v>
      </c>
      <c r="G117" s="5" t="s">
        <v>11</v>
      </c>
      <c r="H117" s="5" t="s">
        <v>6</v>
      </c>
      <c r="I117" s="20" t="str">
        <f t="shared" si="16"/>
        <v>IT</v>
      </c>
      <c r="J117" s="12">
        <f t="shared" si="14"/>
        <v>1</v>
      </c>
      <c r="K117" s="20" t="str">
        <f t="shared" si="15"/>
        <v>2015</v>
      </c>
      <c r="L117" s="5" t="s">
        <v>12</v>
      </c>
    </row>
    <row r="118" spans="2:12" x14ac:dyDescent="0.3">
      <c r="B118" s="2" t="s">
        <v>249</v>
      </c>
      <c r="C118" s="2" t="s">
        <v>250</v>
      </c>
      <c r="D118" s="2" t="s">
        <v>148</v>
      </c>
      <c r="F118" s="5" t="s">
        <v>53</v>
      </c>
      <c r="G118" s="5" t="s">
        <v>54</v>
      </c>
      <c r="H118" s="5" t="s">
        <v>6</v>
      </c>
      <c r="I118" s="20" t="str">
        <f t="shared" si="16"/>
        <v>Finance</v>
      </c>
      <c r="J118" s="12">
        <f t="shared" si="14"/>
        <v>1</v>
      </c>
      <c r="K118" s="20" t="str">
        <f t="shared" si="15"/>
        <v>2015</v>
      </c>
      <c r="L118" s="5" t="s">
        <v>17</v>
      </c>
    </row>
    <row r="119" spans="2:12" x14ac:dyDescent="0.3">
      <c r="B119" s="2" t="s">
        <v>251</v>
      </c>
      <c r="C119" s="2" t="s">
        <v>48</v>
      </c>
      <c r="D119" s="2" t="s">
        <v>140</v>
      </c>
      <c r="F119" s="5" t="s">
        <v>53</v>
      </c>
      <c r="G119" s="5" t="s">
        <v>65</v>
      </c>
      <c r="H119" s="5" t="s">
        <v>6</v>
      </c>
      <c r="I119" s="20" t="str">
        <f t="shared" si="16"/>
        <v>Finance</v>
      </c>
      <c r="J119" s="12">
        <f t="shared" si="14"/>
        <v>1</v>
      </c>
      <c r="K119" s="20" t="str">
        <f t="shared" si="15"/>
        <v>2015</v>
      </c>
      <c r="L119" s="5" t="s">
        <v>17</v>
      </c>
    </row>
    <row r="120" spans="2:12" x14ac:dyDescent="0.3">
      <c r="B120" s="2" t="s">
        <v>252</v>
      </c>
      <c r="C120" s="2" t="s">
        <v>44</v>
      </c>
      <c r="D120" s="2" t="s">
        <v>140</v>
      </c>
      <c r="F120" s="5" t="s">
        <v>74</v>
      </c>
      <c r="G120" s="5" t="s">
        <v>5</v>
      </c>
      <c r="H120" s="5" t="s">
        <v>6</v>
      </c>
      <c r="I120" s="20" t="str">
        <f t="shared" si="16"/>
        <v>Marketing</v>
      </c>
      <c r="J120" s="12">
        <f t="shared" si="14"/>
        <v>1</v>
      </c>
      <c r="K120" s="20" t="str">
        <f t="shared" si="15"/>
        <v>2015</v>
      </c>
      <c r="L120" s="5" t="s">
        <v>17</v>
      </c>
    </row>
    <row r="121" spans="2:12" x14ac:dyDescent="0.3">
      <c r="B121" s="2" t="s">
        <v>253</v>
      </c>
      <c r="C121" s="2" t="s">
        <v>91</v>
      </c>
      <c r="D121" s="2" t="s">
        <v>144</v>
      </c>
      <c r="F121" s="5" t="s">
        <v>74</v>
      </c>
      <c r="G121" s="5" t="s">
        <v>9</v>
      </c>
      <c r="H121" s="5" t="s">
        <v>6</v>
      </c>
      <c r="I121" s="20" t="str">
        <f t="shared" si="16"/>
        <v>Marketing</v>
      </c>
      <c r="J121" s="12">
        <f t="shared" si="14"/>
        <v>1</v>
      </c>
      <c r="K121" s="20" t="str">
        <f t="shared" si="15"/>
        <v>2016</v>
      </c>
      <c r="L121" s="5" t="s">
        <v>308</v>
      </c>
    </row>
    <row r="122" spans="2:12" x14ac:dyDescent="0.3">
      <c r="B122" s="2" t="s">
        <v>254</v>
      </c>
      <c r="C122" s="2" t="s">
        <v>78</v>
      </c>
      <c r="D122" s="2" t="s">
        <v>140</v>
      </c>
      <c r="F122" s="5" t="s">
        <v>74</v>
      </c>
      <c r="G122" s="5" t="s">
        <v>39</v>
      </c>
      <c r="H122" s="5" t="s">
        <v>6</v>
      </c>
      <c r="I122" s="20" t="str">
        <f t="shared" si="16"/>
        <v>Marketing</v>
      </c>
      <c r="J122" s="12">
        <f t="shared" si="14"/>
        <v>0.5</v>
      </c>
      <c r="K122" s="20" t="str">
        <f t="shared" si="15"/>
        <v>2015</v>
      </c>
      <c r="L122" s="5" t="s">
        <v>21</v>
      </c>
    </row>
    <row r="123" spans="2:12" x14ac:dyDescent="0.3">
      <c r="B123" s="2" t="s">
        <v>255</v>
      </c>
      <c r="C123" s="2" t="s">
        <v>84</v>
      </c>
      <c r="D123" s="2" t="s">
        <v>144</v>
      </c>
      <c r="F123" s="5" t="s">
        <v>42</v>
      </c>
      <c r="G123" s="5" t="s">
        <v>9</v>
      </c>
      <c r="H123" s="5" t="s">
        <v>6</v>
      </c>
      <c r="I123" s="20" t="str">
        <f t="shared" si="16"/>
        <v>Finance</v>
      </c>
      <c r="J123" s="12">
        <f t="shared" si="14"/>
        <v>1</v>
      </c>
      <c r="K123" s="20" t="str">
        <f t="shared" si="15"/>
        <v>2016</v>
      </c>
      <c r="L123" s="5" t="s">
        <v>308</v>
      </c>
    </row>
    <row r="124" spans="2:12" x14ac:dyDescent="0.3">
      <c r="B124" s="2" t="s">
        <v>256</v>
      </c>
      <c r="C124" s="2" t="s">
        <v>257</v>
      </c>
      <c r="D124" s="2" t="s">
        <v>140</v>
      </c>
      <c r="F124" s="5" t="s">
        <v>42</v>
      </c>
      <c r="G124" s="5" t="s">
        <v>52</v>
      </c>
      <c r="H124" s="5" t="s">
        <v>6</v>
      </c>
      <c r="I124" s="20" t="str">
        <f t="shared" si="16"/>
        <v>Finance</v>
      </c>
      <c r="J124" s="12">
        <f t="shared" si="14"/>
        <v>1</v>
      </c>
      <c r="K124" s="20" t="str">
        <f t="shared" si="15"/>
        <v>2015</v>
      </c>
      <c r="L124" s="5" t="s">
        <v>17</v>
      </c>
    </row>
    <row r="125" spans="2:12" x14ac:dyDescent="0.3">
      <c r="B125" s="2" t="s">
        <v>258</v>
      </c>
      <c r="C125" s="2" t="s">
        <v>259</v>
      </c>
      <c r="D125" s="2" t="s">
        <v>142</v>
      </c>
      <c r="F125" s="5" t="s">
        <v>42</v>
      </c>
      <c r="G125" s="5" t="s">
        <v>56</v>
      </c>
      <c r="H125" s="5" t="s">
        <v>6</v>
      </c>
      <c r="I125" s="20" t="str">
        <f t="shared" si="16"/>
        <v>Finance</v>
      </c>
      <c r="J125" s="12">
        <f t="shared" si="14"/>
        <v>1</v>
      </c>
      <c r="K125" s="20" t="str">
        <f t="shared" si="15"/>
        <v>2015</v>
      </c>
      <c r="L125" s="5" t="s">
        <v>12</v>
      </c>
    </row>
    <row r="126" spans="2:12" x14ac:dyDescent="0.3">
      <c r="B126" s="2" t="s">
        <v>260</v>
      </c>
      <c r="C126" s="2" t="s">
        <v>261</v>
      </c>
      <c r="D126" s="2" t="s">
        <v>148</v>
      </c>
      <c r="F126" s="5" t="s">
        <v>42</v>
      </c>
      <c r="G126" s="5" t="s">
        <v>26</v>
      </c>
      <c r="H126" s="5" t="s">
        <v>6</v>
      </c>
      <c r="I126" s="20" t="str">
        <f t="shared" si="16"/>
        <v>Finance</v>
      </c>
      <c r="J126" s="12">
        <f t="shared" si="14"/>
        <v>1</v>
      </c>
      <c r="K126" s="20" t="str">
        <f t="shared" si="15"/>
        <v>2015</v>
      </c>
      <c r="L126" s="5" t="s">
        <v>308</v>
      </c>
    </row>
    <row r="127" spans="2:12" x14ac:dyDescent="0.3">
      <c r="B127" s="2" t="s">
        <v>262</v>
      </c>
      <c r="C127" s="2" t="s">
        <v>57</v>
      </c>
      <c r="D127" s="2" t="s">
        <v>148</v>
      </c>
      <c r="F127" s="5" t="s">
        <v>36</v>
      </c>
      <c r="G127" s="5" t="s">
        <v>16</v>
      </c>
      <c r="H127" s="5" t="s">
        <v>6</v>
      </c>
      <c r="I127" s="20" t="str">
        <f t="shared" si="16"/>
        <v>Operations</v>
      </c>
      <c r="J127" s="12">
        <f t="shared" si="14"/>
        <v>1</v>
      </c>
      <c r="K127" s="20" t="str">
        <f t="shared" si="15"/>
        <v>2015</v>
      </c>
      <c r="L127" s="5" t="s">
        <v>21</v>
      </c>
    </row>
    <row r="128" spans="2:12" x14ac:dyDescent="0.3">
      <c r="B128" s="2" t="s">
        <v>263</v>
      </c>
      <c r="C128" s="2" t="s">
        <v>264</v>
      </c>
      <c r="D128" s="2" t="s">
        <v>140</v>
      </c>
      <c r="F128" s="5" t="s">
        <v>36</v>
      </c>
      <c r="G128" s="5" t="s">
        <v>9</v>
      </c>
      <c r="H128" s="5" t="s">
        <v>6</v>
      </c>
      <c r="I128" s="20" t="str">
        <f t="shared" si="16"/>
        <v>Operations</v>
      </c>
      <c r="J128" s="12">
        <f t="shared" si="14"/>
        <v>1</v>
      </c>
      <c r="K128" s="20" t="str">
        <f t="shared" si="15"/>
        <v>2016</v>
      </c>
      <c r="L128" s="5" t="s">
        <v>308</v>
      </c>
    </row>
    <row r="129" spans="2:12" x14ac:dyDescent="0.3">
      <c r="B129" s="2" t="s">
        <v>265</v>
      </c>
      <c r="C129" s="2" t="s">
        <v>266</v>
      </c>
      <c r="D129" s="2" t="s">
        <v>148</v>
      </c>
      <c r="F129" s="5" t="s">
        <v>58</v>
      </c>
      <c r="G129" s="5" t="s">
        <v>59</v>
      </c>
      <c r="H129" s="5" t="s">
        <v>6</v>
      </c>
      <c r="I129" s="20" t="str">
        <f t="shared" si="16"/>
        <v>Operations</v>
      </c>
      <c r="J129" s="12">
        <f t="shared" si="14"/>
        <v>1</v>
      </c>
      <c r="K129" s="20" t="str">
        <f t="shared" si="15"/>
        <v>2015</v>
      </c>
      <c r="L129" s="5" t="s">
        <v>12</v>
      </c>
    </row>
    <row r="130" spans="2:12" x14ac:dyDescent="0.3">
      <c r="B130" s="2" t="s">
        <v>267</v>
      </c>
      <c r="C130" s="2" t="s">
        <v>22</v>
      </c>
      <c r="D130" s="2" t="s">
        <v>148</v>
      </c>
      <c r="F130" s="5" t="s">
        <v>58</v>
      </c>
      <c r="G130" s="5" t="s">
        <v>46</v>
      </c>
      <c r="H130" s="5" t="s">
        <v>6</v>
      </c>
      <c r="I130" s="20" t="str">
        <f t="shared" si="16"/>
        <v>Operations</v>
      </c>
      <c r="J130" s="12">
        <f t="shared" si="14"/>
        <v>0.5</v>
      </c>
      <c r="K130" s="20" t="str">
        <f t="shared" si="15"/>
        <v>2015</v>
      </c>
      <c r="L130" s="5" t="s">
        <v>7</v>
      </c>
    </row>
    <row r="131" spans="2:12" x14ac:dyDescent="0.3">
      <c r="B131" s="2" t="s">
        <v>268</v>
      </c>
      <c r="C131" s="2" t="s">
        <v>269</v>
      </c>
      <c r="D131" s="2" t="s">
        <v>140</v>
      </c>
      <c r="F131" s="5" t="s">
        <v>45</v>
      </c>
      <c r="G131" s="5" t="s">
        <v>46</v>
      </c>
      <c r="H131" s="5" t="s">
        <v>6</v>
      </c>
      <c r="I131" s="20" t="str">
        <f t="shared" si="16"/>
        <v>Finance</v>
      </c>
      <c r="J131" s="12">
        <f t="shared" si="14"/>
        <v>0.5</v>
      </c>
      <c r="K131" s="20" t="str">
        <f t="shared" si="15"/>
        <v>2015</v>
      </c>
      <c r="L131" s="5" t="s">
        <v>7</v>
      </c>
    </row>
    <row r="132" spans="2:12" x14ac:dyDescent="0.3">
      <c r="B132" s="2" t="s">
        <v>270</v>
      </c>
      <c r="C132" s="2" t="s">
        <v>4</v>
      </c>
      <c r="D132" s="2" t="s">
        <v>151</v>
      </c>
      <c r="F132" s="5" t="s">
        <v>45</v>
      </c>
      <c r="G132" s="5" t="s">
        <v>59</v>
      </c>
      <c r="H132" s="5" t="s">
        <v>6</v>
      </c>
      <c r="I132" s="20" t="str">
        <f t="shared" si="16"/>
        <v>Finance</v>
      </c>
      <c r="J132" s="12">
        <f t="shared" si="14"/>
        <v>1</v>
      </c>
      <c r="K132" s="20" t="str">
        <f t="shared" si="15"/>
        <v>2015</v>
      </c>
      <c r="L132" s="5" t="s">
        <v>21</v>
      </c>
    </row>
    <row r="133" spans="2:12" x14ac:dyDescent="0.3">
      <c r="B133" s="2" t="s">
        <v>271</v>
      </c>
      <c r="C133" s="2" t="s">
        <v>41</v>
      </c>
      <c r="D133" s="2" t="s">
        <v>140</v>
      </c>
      <c r="F133" s="5" t="s">
        <v>45</v>
      </c>
      <c r="G133" s="5" t="s">
        <v>52</v>
      </c>
      <c r="H133" s="5" t="s">
        <v>6</v>
      </c>
      <c r="I133" s="20" t="str">
        <f t="shared" si="16"/>
        <v>Finance</v>
      </c>
      <c r="J133" s="12">
        <f t="shared" si="14"/>
        <v>1</v>
      </c>
      <c r="K133" s="20" t="str">
        <f t="shared" si="15"/>
        <v>2015</v>
      </c>
      <c r="L133" s="5" t="s">
        <v>12</v>
      </c>
    </row>
    <row r="134" spans="2:12" x14ac:dyDescent="0.3">
      <c r="B134" s="2" t="s">
        <v>272</v>
      </c>
      <c r="C134" s="2" t="s">
        <v>273</v>
      </c>
      <c r="D134" s="2" t="s">
        <v>144</v>
      </c>
      <c r="F134" s="5" t="s">
        <v>79</v>
      </c>
      <c r="G134" s="5" t="s">
        <v>5</v>
      </c>
      <c r="H134" s="5" t="s">
        <v>6</v>
      </c>
      <c r="I134" s="20" t="str">
        <f t="shared" si="16"/>
        <v>HR</v>
      </c>
      <c r="J134" s="12">
        <f t="shared" si="14"/>
        <v>1</v>
      </c>
      <c r="K134" s="20" t="str">
        <f t="shared" si="15"/>
        <v>2015</v>
      </c>
      <c r="L134" s="5" t="s">
        <v>12</v>
      </c>
    </row>
    <row r="135" spans="2:12" x14ac:dyDescent="0.3">
      <c r="B135" s="2" t="s">
        <v>274</v>
      </c>
      <c r="C135" s="2" t="s">
        <v>77</v>
      </c>
      <c r="D135" s="2" t="s">
        <v>144</v>
      </c>
      <c r="F135" s="5" t="s">
        <v>79</v>
      </c>
      <c r="G135" s="5" t="s">
        <v>11</v>
      </c>
      <c r="H135" s="5" t="s">
        <v>6</v>
      </c>
      <c r="I135" s="20" t="str">
        <f t="shared" si="16"/>
        <v>HR</v>
      </c>
      <c r="J135" s="12">
        <f t="shared" si="14"/>
        <v>1</v>
      </c>
      <c r="K135" s="20" t="str">
        <f t="shared" si="15"/>
        <v>2015</v>
      </c>
      <c r="L135" s="5" t="s">
        <v>17</v>
      </c>
    </row>
    <row r="136" spans="2:12" x14ac:dyDescent="0.3">
      <c r="B136" s="2" t="s">
        <v>275</v>
      </c>
      <c r="C136" s="2" t="s">
        <v>276</v>
      </c>
      <c r="D136" s="2" t="s">
        <v>166</v>
      </c>
      <c r="F136" s="5" t="s">
        <v>67</v>
      </c>
      <c r="G136" s="5" t="s">
        <v>14</v>
      </c>
      <c r="H136" s="5" t="s">
        <v>6</v>
      </c>
      <c r="I136" s="20" t="str">
        <f t="shared" si="16"/>
        <v>Finance</v>
      </c>
      <c r="J136" s="12">
        <f t="shared" ref="J136:J167" si="17">IF(G136=$P$40,$T$40,
IF(G136=$P$41,$T$41,
IF(G136=$P$42,$T$42,
IF(G136=$P$43,$T$43,
IF(G136=$P$44,$T$44,
IF(G136=$P$45,$T$45,
IF(G136=$P$46,$T$46,
IF(G136=$P$47,$T$47,
IF(G136=$P$48,$T$48,
IF(G136=$P$49,$T$49,
IF(G136=$P$50,$T$50,
IF(G136=$P$51,$T$51,
IF(G136=$P$52,$T$52,
IF(G136=$P$53,$T$53,
IF(G136=$P$54,$T$54,
IF(G136=$P$55,$T$55,
IF(G136=$P$56,$T$56,
IF(G136=$P$57,$T$57,
IF(G136=$P$58,$T$58,
IF(G136=$P$59,$T$59,
IF(G136=$P$60,$T$60,
"no info")))))))))))))))))))))</f>
        <v>1.5</v>
      </c>
      <c r="K136" s="20" t="str">
        <f t="shared" ref="K136:K167" si="18">IF((OR($P$40=G136,$P$41=G136,$P$42=G136,$P$43=G136,$P$44=G136,$P$45=G136,$P$46=G136,$P$47=G136,$P$48=G136,$P$49=G136,$P$50=G136,$P$51=G136,$P$52=G136,$P$53=G136,$P$54=G136,$P$55=G136,$P$56=G136,$P$57=G136,$P$58=G136)),$S$40,"2016")</f>
        <v>2015</v>
      </c>
      <c r="L136" s="5" t="s">
        <v>308</v>
      </c>
    </row>
    <row r="137" spans="2:12" x14ac:dyDescent="0.3">
      <c r="B137" s="2" t="s">
        <v>277</v>
      </c>
      <c r="C137" s="2" t="s">
        <v>278</v>
      </c>
      <c r="D137" s="2" t="s">
        <v>144</v>
      </c>
      <c r="F137" s="5" t="s">
        <v>15</v>
      </c>
      <c r="G137" s="5" t="s">
        <v>16</v>
      </c>
      <c r="H137" s="5" t="s">
        <v>6</v>
      </c>
      <c r="I137" s="20" t="str">
        <f t="shared" si="16"/>
        <v>Sales</v>
      </c>
      <c r="J137" s="12">
        <f t="shared" si="17"/>
        <v>1</v>
      </c>
      <c r="K137" s="20" t="str">
        <f t="shared" si="18"/>
        <v>2015</v>
      </c>
      <c r="L137" s="5" t="s">
        <v>17</v>
      </c>
    </row>
    <row r="138" spans="2:12" x14ac:dyDescent="0.3">
      <c r="B138" s="2" t="s">
        <v>279</v>
      </c>
      <c r="C138" s="2" t="s">
        <v>24</v>
      </c>
      <c r="D138" s="2" t="s">
        <v>140</v>
      </c>
      <c r="F138" s="5" t="s">
        <v>15</v>
      </c>
      <c r="G138" s="5" t="s">
        <v>31</v>
      </c>
      <c r="H138" s="5" t="s">
        <v>6</v>
      </c>
      <c r="I138" s="20" t="str">
        <f t="shared" si="16"/>
        <v>Sales</v>
      </c>
      <c r="J138" s="12">
        <f t="shared" si="17"/>
        <v>1</v>
      </c>
      <c r="K138" s="20" t="str">
        <f t="shared" si="18"/>
        <v>2015</v>
      </c>
      <c r="L138" s="5" t="s">
        <v>12</v>
      </c>
    </row>
    <row r="139" spans="2:12" x14ac:dyDescent="0.3">
      <c r="B139" s="2" t="s">
        <v>280</v>
      </c>
      <c r="C139" s="2" t="s">
        <v>94</v>
      </c>
      <c r="D139" s="2" t="s">
        <v>142</v>
      </c>
      <c r="F139" s="5" t="s">
        <v>15</v>
      </c>
      <c r="G139" s="5" t="s">
        <v>5</v>
      </c>
      <c r="H139" s="5" t="s">
        <v>6</v>
      </c>
      <c r="I139" s="20" t="str">
        <f t="shared" si="16"/>
        <v>Sales</v>
      </c>
      <c r="J139" s="12">
        <f t="shared" si="17"/>
        <v>1</v>
      </c>
      <c r="K139" s="20" t="str">
        <f t="shared" si="18"/>
        <v>2015</v>
      </c>
      <c r="L139" s="5" t="s">
        <v>7</v>
      </c>
    </row>
    <row r="140" spans="2:12" x14ac:dyDescent="0.3">
      <c r="F140" s="5" t="s">
        <v>87</v>
      </c>
      <c r="G140" s="5" t="s">
        <v>46</v>
      </c>
      <c r="H140" s="5" t="s">
        <v>6</v>
      </c>
      <c r="I140" s="20" t="str">
        <f t="shared" si="16"/>
        <v>IT</v>
      </c>
      <c r="J140" s="12">
        <f t="shared" si="17"/>
        <v>0.5</v>
      </c>
      <c r="K140" s="20" t="str">
        <f t="shared" si="18"/>
        <v>2015</v>
      </c>
      <c r="L140" s="5" t="s">
        <v>21</v>
      </c>
    </row>
    <row r="141" spans="2:12" x14ac:dyDescent="0.3">
      <c r="F141" s="5" t="s">
        <v>87</v>
      </c>
      <c r="G141" s="5" t="s">
        <v>31</v>
      </c>
      <c r="H141" s="5" t="s">
        <v>6</v>
      </c>
      <c r="I141" s="20" t="str">
        <f t="shared" si="16"/>
        <v>IT</v>
      </c>
      <c r="J141" s="12">
        <f t="shared" si="17"/>
        <v>1</v>
      </c>
      <c r="K141" s="20" t="str">
        <f t="shared" si="18"/>
        <v>2015</v>
      </c>
      <c r="L141" s="5" t="s">
        <v>7</v>
      </c>
    </row>
    <row r="142" spans="2:12" x14ac:dyDescent="0.3">
      <c r="F142" s="5" t="s">
        <v>95</v>
      </c>
      <c r="G142" s="5" t="s">
        <v>65</v>
      </c>
      <c r="H142" s="5" t="s">
        <v>6</v>
      </c>
      <c r="I142" s="21" t="str">
        <f>IF(F142=$C$100,$D$100,
IF(F142=$C$101,$D$101,
IF(F142=$C$102,$D$102,
IF(F142=$C$103,$D$103,
IF(F142=$C$104,$D$104,
IF(F142=$C$105,$D$105,
IF(F142=$C$106,$D$106,
IF(F142=$C$107,$D$107,
IF(F142=$C$108,$D$108,
IF(F142=$C$109,$D$109,
IF(F142=$C$110,$D$110,
IF(F142=$C$111,$D$111,
IF(F142=$C$112,$D$112,
IF(F142=$C$113,$D$113,
IF(F142=$C$114,$D$114,
IF(F142=$C$115,$D$115,
IF(F142=$C$116,$D$116,
IF(F142=$C$117,$D$117,
IF(F142=$C$118,$D$118,
IF(F142=$C$119,$D$119,
IF(F142=$C$120,$D$120,
IF(F142=$C$121,$D$121,
IF(F142=$C$122,$D$122,
IF(F142=$C$123,$D$123,
IF(F142=$C$124,$D$124,
IF(F142=$C$125,$D$125,
IF(F142=$C$126,$D$126,
IF(F142=$C$127,$D$127,
IF(F142=$C$128,$D$128,
IF(F142=$C$129,$D$129,
IF(F142=$C$130,$D$130,
IF(F142=$C$131,$D$131,
IF(F142=$C$132,$D$132,
IF(F142=$C$133,$D$133,
IF(F142=$C$134,$D$134,
IF(F142=$C$135,$D$135,
IF(F142=$C$136,$D$136,
IF(F142=$C$137,$D$137,
IF(F142=$C$138,$D$138,
IF(F142=$C$139,$D$139,
"No Department"))))))))))))))))))))))))))))))))))))))))</f>
        <v>HR</v>
      </c>
      <c r="J142" s="12">
        <f t="shared" si="17"/>
        <v>1</v>
      </c>
      <c r="K142" s="20" t="str">
        <f t="shared" si="18"/>
        <v>2015</v>
      </c>
      <c r="L142" s="5" t="s">
        <v>21</v>
      </c>
    </row>
    <row r="143" spans="2:12" x14ac:dyDescent="0.3">
      <c r="F143" s="5" t="s">
        <v>86</v>
      </c>
      <c r="G143" s="5" t="s">
        <v>59</v>
      </c>
      <c r="H143" s="5" t="s">
        <v>6</v>
      </c>
      <c r="I143" s="21" t="str">
        <f t="shared" ref="I143:I185" si="19">IF(F143=$C$100,$D$100,
IF(F143=$C$101,$D$101,
IF(F143=$C$102,$D$102,
IF(F143=$C$103,$D$103,
IF(F143=$C$104,$D$104,
IF(F143=$C$105,$D$105,
IF(F143=$C$106,$D$106,
IF(F143=$C$107,$D$107,
IF(F143=$C$108,$D$108,
IF(F143=$C$109,$D$109,
IF(F143=$C$110,$D$110,
IF(F143=$C$111,$D$111,
IF(F143=$C$112,$D$112,
IF(F143=$C$113,$D$113,
IF(F143=$C$114,$D$114,
IF(F143=$C$115,$D$115,
IF(F143=$C$116,$D$116,
IF(F143=$C$117,$D$117,
IF(F143=$C$118,$D$118,
IF(F143=$C$119,$D$119,
IF(F143=$C$120,$D$120,
IF(F143=$C$121,$D$121,
IF(F143=$C$122,$D$122,
IF(F143=$C$123,$D$123,
IF(F143=$C$124,$D$124,
IF(F143=$C$125,$D$125,
IF(F143=$C$126,$D$126,
IF(F143=$C$127,$D$127,
IF(F143=$C$128,$D$128,
IF(F143=$C$129,$D$129,
IF(F143=$C$130,$D$130,
IF(F143=$C$131,$D$131,
IF(F143=$C$132,$D$132,
IF(F143=$C$133,$D$133,
IF(F143=$C$134,$D$134,
IF(F143=$C$135,$D$135,
IF(F143=$C$136,$D$136,
IF(F143=$C$137,$D$137,
IF(F143=$C$138,$D$138,
IF(F143=$C$139,$D$139,
"No Department"))))))))))))))))))))))))))))))))))))))))</f>
        <v>HR</v>
      </c>
      <c r="J143" s="12">
        <f t="shared" si="17"/>
        <v>1</v>
      </c>
      <c r="K143" s="20" t="str">
        <f t="shared" si="18"/>
        <v>2015</v>
      </c>
      <c r="L143" s="5" t="s">
        <v>7</v>
      </c>
    </row>
    <row r="144" spans="2:12" x14ac:dyDescent="0.3">
      <c r="F144" s="5" t="s">
        <v>49</v>
      </c>
      <c r="G144" s="5" t="s">
        <v>50</v>
      </c>
      <c r="H144" s="5" t="s">
        <v>6</v>
      </c>
      <c r="I144" s="21" t="str">
        <f t="shared" si="19"/>
        <v>Sales</v>
      </c>
      <c r="J144" s="12">
        <f t="shared" si="17"/>
        <v>1</v>
      </c>
      <c r="K144" s="20" t="str">
        <f t="shared" si="18"/>
        <v>2015</v>
      </c>
      <c r="L144" s="5" t="s">
        <v>21</v>
      </c>
    </row>
    <row r="145" spans="6:12" x14ac:dyDescent="0.3">
      <c r="F145" s="5" t="s">
        <v>34</v>
      </c>
      <c r="G145" s="5" t="s">
        <v>23</v>
      </c>
      <c r="H145" s="5" t="s">
        <v>6</v>
      </c>
      <c r="I145" s="21" t="str">
        <f t="shared" si="19"/>
        <v>HR</v>
      </c>
      <c r="J145" s="12">
        <f t="shared" si="17"/>
        <v>1</v>
      </c>
      <c r="K145" s="20" t="str">
        <f t="shared" si="18"/>
        <v>2016</v>
      </c>
      <c r="L145" s="5" t="s">
        <v>308</v>
      </c>
    </row>
    <row r="146" spans="6:12" x14ac:dyDescent="0.3">
      <c r="F146" s="5" t="s">
        <v>34</v>
      </c>
      <c r="G146" s="5" t="s">
        <v>65</v>
      </c>
      <c r="H146" s="5" t="s">
        <v>6</v>
      </c>
      <c r="I146" s="21" t="str">
        <f t="shared" si="19"/>
        <v>HR</v>
      </c>
      <c r="J146" s="12">
        <f t="shared" si="17"/>
        <v>1</v>
      </c>
      <c r="K146" s="20" t="str">
        <f t="shared" si="18"/>
        <v>2015</v>
      </c>
      <c r="L146" s="5" t="s">
        <v>7</v>
      </c>
    </row>
    <row r="147" spans="6:12" x14ac:dyDescent="0.3">
      <c r="F147" s="5" t="s">
        <v>34</v>
      </c>
      <c r="G147" s="5" t="s">
        <v>5</v>
      </c>
      <c r="H147" s="5" t="s">
        <v>6</v>
      </c>
      <c r="I147" s="21" t="str">
        <f t="shared" si="19"/>
        <v>HR</v>
      </c>
      <c r="J147" s="12">
        <f t="shared" si="17"/>
        <v>1</v>
      </c>
      <c r="K147" s="20" t="str">
        <f t="shared" si="18"/>
        <v>2015</v>
      </c>
      <c r="L147" s="5" t="s">
        <v>7</v>
      </c>
    </row>
    <row r="148" spans="6:12" x14ac:dyDescent="0.3">
      <c r="F148" s="5" t="s">
        <v>88</v>
      </c>
      <c r="G148" s="5" t="s">
        <v>73</v>
      </c>
      <c r="H148" s="5" t="s">
        <v>6</v>
      </c>
      <c r="I148" s="21" t="str">
        <f t="shared" si="19"/>
        <v>IT</v>
      </c>
      <c r="J148" s="12">
        <f t="shared" si="17"/>
        <v>1</v>
      </c>
      <c r="K148" s="20" t="str">
        <f t="shared" si="18"/>
        <v>2015</v>
      </c>
      <c r="L148" s="5" t="s">
        <v>17</v>
      </c>
    </row>
    <row r="149" spans="6:12" x14ac:dyDescent="0.3">
      <c r="F149" s="5" t="s">
        <v>88</v>
      </c>
      <c r="G149" s="5" t="s">
        <v>5</v>
      </c>
      <c r="H149" s="5" t="s">
        <v>6</v>
      </c>
      <c r="I149" s="21" t="str">
        <f t="shared" si="19"/>
        <v>IT</v>
      </c>
      <c r="J149" s="12">
        <f t="shared" si="17"/>
        <v>1</v>
      </c>
      <c r="K149" s="20" t="str">
        <f t="shared" si="18"/>
        <v>2015</v>
      </c>
      <c r="L149" s="5" t="s">
        <v>21</v>
      </c>
    </row>
    <row r="150" spans="6:12" x14ac:dyDescent="0.3">
      <c r="F150" s="5" t="s">
        <v>68</v>
      </c>
      <c r="G150" s="5" t="s">
        <v>5</v>
      </c>
      <c r="H150" s="5" t="s">
        <v>6</v>
      </c>
      <c r="I150" s="21" t="str">
        <f t="shared" si="19"/>
        <v>Marketing</v>
      </c>
      <c r="J150" s="12">
        <f t="shared" si="17"/>
        <v>1</v>
      </c>
      <c r="K150" s="20" t="str">
        <f t="shared" si="18"/>
        <v>2015</v>
      </c>
      <c r="L150" s="5" t="s">
        <v>21</v>
      </c>
    </row>
    <row r="151" spans="6:12" x14ac:dyDescent="0.3">
      <c r="F151" s="5" t="s">
        <v>68</v>
      </c>
      <c r="G151" s="5" t="s">
        <v>29</v>
      </c>
      <c r="H151" s="5" t="s">
        <v>6</v>
      </c>
      <c r="I151" s="21" t="str">
        <f t="shared" si="19"/>
        <v>Marketing</v>
      </c>
      <c r="J151" s="12">
        <f t="shared" si="17"/>
        <v>1</v>
      </c>
      <c r="K151" s="20" t="str">
        <f t="shared" si="18"/>
        <v>2015</v>
      </c>
      <c r="L151" s="5" t="s">
        <v>7</v>
      </c>
    </row>
    <row r="152" spans="6:12" x14ac:dyDescent="0.3">
      <c r="F152" s="5" t="s">
        <v>64</v>
      </c>
      <c r="G152" s="5" t="s">
        <v>39</v>
      </c>
      <c r="H152" s="5" t="s">
        <v>6</v>
      </c>
      <c r="I152" s="21" t="str">
        <f t="shared" si="19"/>
        <v>Marketing</v>
      </c>
      <c r="J152" s="12">
        <f t="shared" si="17"/>
        <v>0.5</v>
      </c>
      <c r="K152" s="20" t="str">
        <f t="shared" si="18"/>
        <v>2015</v>
      </c>
      <c r="L152" s="5" t="s">
        <v>7</v>
      </c>
    </row>
    <row r="153" spans="6:12" x14ac:dyDescent="0.3">
      <c r="F153" s="5" t="s">
        <v>64</v>
      </c>
      <c r="G153" s="5" t="s">
        <v>73</v>
      </c>
      <c r="H153" s="5" t="s">
        <v>6</v>
      </c>
      <c r="I153" s="21" t="str">
        <f t="shared" si="19"/>
        <v>Marketing</v>
      </c>
      <c r="J153" s="12">
        <f t="shared" si="17"/>
        <v>1</v>
      </c>
      <c r="K153" s="20" t="str">
        <f t="shared" si="18"/>
        <v>2015</v>
      </c>
      <c r="L153" s="5" t="s">
        <v>32</v>
      </c>
    </row>
    <row r="154" spans="6:12" x14ac:dyDescent="0.3">
      <c r="F154" s="5" t="s">
        <v>81</v>
      </c>
      <c r="G154" s="5" t="s">
        <v>50</v>
      </c>
      <c r="H154" s="5" t="s">
        <v>6</v>
      </c>
      <c r="I154" s="21" t="str">
        <f t="shared" si="19"/>
        <v>Finance</v>
      </c>
      <c r="J154" s="12">
        <f t="shared" si="17"/>
        <v>1</v>
      </c>
      <c r="K154" s="20" t="str">
        <f t="shared" si="18"/>
        <v>2015</v>
      </c>
      <c r="L154" s="5" t="s">
        <v>17</v>
      </c>
    </row>
    <row r="155" spans="6:12" x14ac:dyDescent="0.3">
      <c r="F155" s="5" t="s">
        <v>81</v>
      </c>
      <c r="G155" s="5" t="s">
        <v>19</v>
      </c>
      <c r="H155" s="5" t="s">
        <v>6</v>
      </c>
      <c r="I155" s="21" t="str">
        <f t="shared" si="19"/>
        <v>Finance</v>
      </c>
      <c r="J155" s="12">
        <f t="shared" si="17"/>
        <v>1</v>
      </c>
      <c r="K155" s="20" t="str">
        <f t="shared" si="18"/>
        <v>2015</v>
      </c>
      <c r="L155" s="5" t="s">
        <v>21</v>
      </c>
    </row>
    <row r="156" spans="6:12" x14ac:dyDescent="0.3">
      <c r="F156" s="5" t="s">
        <v>81</v>
      </c>
      <c r="G156" s="5" t="s">
        <v>73</v>
      </c>
      <c r="H156" s="5" t="s">
        <v>6</v>
      </c>
      <c r="I156" s="21" t="str">
        <f t="shared" si="19"/>
        <v>Finance</v>
      </c>
      <c r="J156" s="12">
        <f t="shared" si="17"/>
        <v>1</v>
      </c>
      <c r="K156" s="20" t="str">
        <f t="shared" si="18"/>
        <v>2015</v>
      </c>
      <c r="L156" s="5" t="s">
        <v>17</v>
      </c>
    </row>
    <row r="157" spans="6:12" x14ac:dyDescent="0.3">
      <c r="F157" s="5" t="s">
        <v>66</v>
      </c>
      <c r="G157" s="5" t="s">
        <v>14</v>
      </c>
      <c r="H157" s="5" t="s">
        <v>6</v>
      </c>
      <c r="I157" s="21" t="str">
        <f t="shared" si="19"/>
        <v>IT</v>
      </c>
      <c r="J157" s="12">
        <f t="shared" si="17"/>
        <v>1.5</v>
      </c>
      <c r="K157" s="20" t="str">
        <f t="shared" si="18"/>
        <v>2015</v>
      </c>
      <c r="L157" s="5" t="s">
        <v>308</v>
      </c>
    </row>
    <row r="158" spans="6:12" x14ac:dyDescent="0.3">
      <c r="F158" s="5" t="s">
        <v>66</v>
      </c>
      <c r="G158" s="5" t="s">
        <v>39</v>
      </c>
      <c r="H158" s="5" t="s">
        <v>6</v>
      </c>
      <c r="I158" s="21" t="str">
        <f t="shared" si="19"/>
        <v>IT</v>
      </c>
      <c r="J158" s="12">
        <f t="shared" si="17"/>
        <v>0.5</v>
      </c>
      <c r="K158" s="20" t="str">
        <f t="shared" si="18"/>
        <v>2015</v>
      </c>
      <c r="L158" s="5" t="s">
        <v>17</v>
      </c>
    </row>
    <row r="159" spans="6:12" x14ac:dyDescent="0.3">
      <c r="F159" s="5" t="s">
        <v>66</v>
      </c>
      <c r="G159" s="5" t="s">
        <v>46</v>
      </c>
      <c r="H159" s="5" t="s">
        <v>6</v>
      </c>
      <c r="I159" s="21" t="str">
        <f t="shared" si="19"/>
        <v>IT</v>
      </c>
      <c r="J159" s="12">
        <f t="shared" si="17"/>
        <v>0.5</v>
      </c>
      <c r="K159" s="20" t="str">
        <f t="shared" si="18"/>
        <v>2015</v>
      </c>
      <c r="L159" s="5" t="s">
        <v>17</v>
      </c>
    </row>
    <row r="160" spans="6:12" x14ac:dyDescent="0.3">
      <c r="F160" s="5" t="s">
        <v>92</v>
      </c>
      <c r="G160" s="5" t="s">
        <v>59</v>
      </c>
      <c r="H160" s="5" t="s">
        <v>6</v>
      </c>
      <c r="I160" s="21" t="str">
        <f t="shared" si="19"/>
        <v>HR</v>
      </c>
      <c r="J160" s="12">
        <f t="shared" si="17"/>
        <v>1</v>
      </c>
      <c r="K160" s="20" t="str">
        <f t="shared" si="18"/>
        <v>2015</v>
      </c>
      <c r="L160" s="5" t="s">
        <v>21</v>
      </c>
    </row>
    <row r="161" spans="6:12" x14ac:dyDescent="0.3">
      <c r="F161" s="5" t="s">
        <v>18</v>
      </c>
      <c r="G161" s="5" t="s">
        <v>19</v>
      </c>
      <c r="H161" s="5" t="s">
        <v>6</v>
      </c>
      <c r="I161" s="21" t="str">
        <f t="shared" si="19"/>
        <v>Sales</v>
      </c>
      <c r="J161" s="12">
        <f t="shared" si="17"/>
        <v>1</v>
      </c>
      <c r="K161" s="20" t="str">
        <f t="shared" si="18"/>
        <v>2015</v>
      </c>
      <c r="L161" s="5" t="s">
        <v>17</v>
      </c>
    </row>
    <row r="162" spans="6:12" x14ac:dyDescent="0.3">
      <c r="F162" s="5" t="s">
        <v>18</v>
      </c>
      <c r="G162" s="5" t="s">
        <v>54</v>
      </c>
      <c r="H162" s="5" t="s">
        <v>6</v>
      </c>
      <c r="I162" s="21" t="str">
        <f t="shared" si="19"/>
        <v>Sales</v>
      </c>
      <c r="J162" s="12">
        <f t="shared" si="17"/>
        <v>1</v>
      </c>
      <c r="K162" s="20" t="str">
        <f t="shared" si="18"/>
        <v>2015</v>
      </c>
      <c r="L162" s="5" t="s">
        <v>32</v>
      </c>
    </row>
    <row r="163" spans="6:12" x14ac:dyDescent="0.3">
      <c r="F163" s="5" t="s">
        <v>18</v>
      </c>
      <c r="G163" s="5" t="s">
        <v>9</v>
      </c>
      <c r="H163" s="5" t="s">
        <v>6</v>
      </c>
      <c r="I163" s="21" t="str">
        <f t="shared" si="19"/>
        <v>Sales</v>
      </c>
      <c r="J163" s="12">
        <f t="shared" si="17"/>
        <v>1</v>
      </c>
      <c r="K163" s="20" t="str">
        <f t="shared" si="18"/>
        <v>2016</v>
      </c>
      <c r="L163" s="5" t="s">
        <v>308</v>
      </c>
    </row>
    <row r="164" spans="6:12" x14ac:dyDescent="0.3">
      <c r="F164" s="5" t="s">
        <v>55</v>
      </c>
      <c r="G164" s="5" t="s">
        <v>56</v>
      </c>
      <c r="H164" s="5" t="s">
        <v>6</v>
      </c>
      <c r="I164" s="21" t="str">
        <f t="shared" si="19"/>
        <v>IT</v>
      </c>
      <c r="J164" s="12">
        <f t="shared" si="17"/>
        <v>1</v>
      </c>
      <c r="K164" s="20" t="str">
        <f t="shared" si="18"/>
        <v>2015</v>
      </c>
      <c r="L164" s="5" t="s">
        <v>32</v>
      </c>
    </row>
    <row r="165" spans="6:12" x14ac:dyDescent="0.3">
      <c r="F165" s="5" t="s">
        <v>48</v>
      </c>
      <c r="G165" s="5" t="s">
        <v>11</v>
      </c>
      <c r="H165" s="5" t="s">
        <v>6</v>
      </c>
      <c r="I165" s="21" t="str">
        <f t="shared" si="19"/>
        <v>Finance</v>
      </c>
      <c r="J165" s="12">
        <f t="shared" si="17"/>
        <v>1</v>
      </c>
      <c r="K165" s="20" t="str">
        <f t="shared" si="18"/>
        <v>2015</v>
      </c>
      <c r="L165" s="5" t="s">
        <v>12</v>
      </c>
    </row>
    <row r="166" spans="6:12" x14ac:dyDescent="0.3">
      <c r="F166" s="5" t="s">
        <v>48</v>
      </c>
      <c r="G166" s="5" t="s">
        <v>5</v>
      </c>
      <c r="H166" s="5" t="s">
        <v>6</v>
      </c>
      <c r="I166" s="21" t="str">
        <f t="shared" si="19"/>
        <v>Finance</v>
      </c>
      <c r="J166" s="12">
        <f t="shared" si="17"/>
        <v>1</v>
      </c>
      <c r="K166" s="20" t="str">
        <f t="shared" si="18"/>
        <v>2015</v>
      </c>
      <c r="L166" s="5" t="s">
        <v>17</v>
      </c>
    </row>
    <row r="167" spans="6:12" x14ac:dyDescent="0.3">
      <c r="F167" s="5" t="s">
        <v>48</v>
      </c>
      <c r="G167" s="5" t="s">
        <v>54</v>
      </c>
      <c r="H167" s="5" t="s">
        <v>6</v>
      </c>
      <c r="I167" s="21" t="str">
        <f t="shared" si="19"/>
        <v>Finance</v>
      </c>
      <c r="J167" s="12">
        <f t="shared" si="17"/>
        <v>1</v>
      </c>
      <c r="K167" s="20" t="str">
        <f t="shared" si="18"/>
        <v>2015</v>
      </c>
      <c r="L167" s="5" t="s">
        <v>32</v>
      </c>
    </row>
    <row r="168" spans="6:12" x14ac:dyDescent="0.3">
      <c r="F168" s="5" t="s">
        <v>48</v>
      </c>
      <c r="G168" s="5" t="s">
        <v>59</v>
      </c>
      <c r="H168" s="5" t="s">
        <v>6</v>
      </c>
      <c r="I168" s="21" t="str">
        <f t="shared" si="19"/>
        <v>Finance</v>
      </c>
      <c r="J168" s="12">
        <f t="shared" ref="J168:J185" si="20">IF(G168=$P$40,$T$40,
IF(G168=$P$41,$T$41,
IF(G168=$P$42,$T$42,
IF(G168=$P$43,$T$43,
IF(G168=$P$44,$T$44,
IF(G168=$P$45,$T$45,
IF(G168=$P$46,$T$46,
IF(G168=$P$47,$T$47,
IF(G168=$P$48,$T$48,
IF(G168=$P$49,$T$49,
IF(G168=$P$50,$T$50,
IF(G168=$P$51,$T$51,
IF(G168=$P$52,$T$52,
IF(G168=$P$53,$T$53,
IF(G168=$P$54,$T$54,
IF(G168=$P$55,$T$55,
IF(G168=$P$56,$T$56,
IF(G168=$P$57,$T$57,
IF(G168=$P$58,$T$58,
IF(G168=$P$59,$T$59,
IF(G168=$P$60,$T$60,
"no info")))))))))))))))))))))</f>
        <v>1</v>
      </c>
      <c r="K168" s="20" t="str">
        <f t="shared" ref="K168:K185" si="21">IF((OR($P$40=G168,$P$41=G168,$P$42=G168,$P$43=G168,$P$44=G168,$P$45=G168,$P$46=G168,$P$47=G168,$P$48=G168,$P$49=G168,$P$50=G168,$P$51=G168,$P$52=G168,$P$53=G168,$P$54=G168,$P$55=G168,$P$56=G168,$P$57=G168,$P$58=G168)),$S$40,"2016")</f>
        <v>2015</v>
      </c>
      <c r="L168" s="5" t="s">
        <v>12</v>
      </c>
    </row>
    <row r="169" spans="6:12" x14ac:dyDescent="0.3">
      <c r="F169" s="5" t="s">
        <v>44</v>
      </c>
      <c r="G169" s="5" t="s">
        <v>9</v>
      </c>
      <c r="H169" s="5" t="s">
        <v>6</v>
      </c>
      <c r="I169" s="21" t="str">
        <f t="shared" si="19"/>
        <v>Finance</v>
      </c>
      <c r="J169" s="12">
        <f t="shared" si="20"/>
        <v>1</v>
      </c>
      <c r="K169" s="20" t="str">
        <f t="shared" si="21"/>
        <v>2016</v>
      </c>
      <c r="L169" s="5" t="s">
        <v>308</v>
      </c>
    </row>
    <row r="170" spans="6:12" x14ac:dyDescent="0.3">
      <c r="F170" s="5" t="s">
        <v>91</v>
      </c>
      <c r="G170" s="5" t="s">
        <v>39</v>
      </c>
      <c r="H170" s="5" t="s">
        <v>6</v>
      </c>
      <c r="I170" s="21" t="str">
        <f t="shared" si="19"/>
        <v>Sales</v>
      </c>
      <c r="J170" s="12">
        <f t="shared" si="20"/>
        <v>0.5</v>
      </c>
      <c r="K170" s="20" t="str">
        <f t="shared" si="21"/>
        <v>2015</v>
      </c>
      <c r="L170" s="5" t="s">
        <v>7</v>
      </c>
    </row>
    <row r="171" spans="6:12" x14ac:dyDescent="0.3">
      <c r="F171" s="5" t="s">
        <v>78</v>
      </c>
      <c r="G171" s="5" t="s">
        <v>61</v>
      </c>
      <c r="H171" s="5" t="s">
        <v>6</v>
      </c>
      <c r="I171" s="21" t="str">
        <f t="shared" si="19"/>
        <v>Finance</v>
      </c>
      <c r="J171" s="12">
        <f t="shared" si="20"/>
        <v>1</v>
      </c>
      <c r="K171" s="20" t="str">
        <f t="shared" si="21"/>
        <v>2015</v>
      </c>
      <c r="L171" s="5" t="s">
        <v>17</v>
      </c>
    </row>
    <row r="172" spans="6:12" x14ac:dyDescent="0.3">
      <c r="F172" s="5" t="s">
        <v>78</v>
      </c>
      <c r="G172" s="5" t="s">
        <v>39</v>
      </c>
      <c r="H172" s="5" t="s">
        <v>6</v>
      </c>
      <c r="I172" s="21" t="str">
        <f t="shared" si="19"/>
        <v>Finance</v>
      </c>
      <c r="J172" s="12">
        <f t="shared" si="20"/>
        <v>0.5</v>
      </c>
      <c r="K172" s="20" t="str">
        <f t="shared" si="21"/>
        <v>2015</v>
      </c>
      <c r="L172" s="5" t="s">
        <v>7</v>
      </c>
    </row>
    <row r="173" spans="6:12" x14ac:dyDescent="0.3">
      <c r="F173" s="5" t="s">
        <v>84</v>
      </c>
      <c r="G173" s="5" t="s">
        <v>54</v>
      </c>
      <c r="H173" s="5" t="s">
        <v>6</v>
      </c>
      <c r="I173" s="21" t="str">
        <f t="shared" si="19"/>
        <v>Sales</v>
      </c>
      <c r="J173" s="12">
        <f t="shared" si="20"/>
        <v>1</v>
      </c>
      <c r="K173" s="20" t="str">
        <f t="shared" si="21"/>
        <v>2015</v>
      </c>
      <c r="L173" s="5" t="s">
        <v>12</v>
      </c>
    </row>
    <row r="174" spans="6:12" x14ac:dyDescent="0.3">
      <c r="F174" s="5" t="s">
        <v>57</v>
      </c>
      <c r="G174" s="5" t="s">
        <v>14</v>
      </c>
      <c r="H174" s="5" t="s">
        <v>6</v>
      </c>
      <c r="I174" s="21" t="str">
        <f t="shared" si="19"/>
        <v>Operations</v>
      </c>
      <c r="J174" s="12">
        <f t="shared" si="20"/>
        <v>1.5</v>
      </c>
      <c r="K174" s="20" t="str">
        <f t="shared" si="21"/>
        <v>2015</v>
      </c>
      <c r="L174" s="5" t="s">
        <v>308</v>
      </c>
    </row>
    <row r="175" spans="6:12" x14ac:dyDescent="0.3">
      <c r="F175" s="5" t="s">
        <v>22</v>
      </c>
      <c r="G175" s="5" t="s">
        <v>23</v>
      </c>
      <c r="H175" s="5" t="s">
        <v>6</v>
      </c>
      <c r="I175" s="21" t="str">
        <f t="shared" si="19"/>
        <v>Operations</v>
      </c>
      <c r="J175" s="12">
        <f t="shared" si="20"/>
        <v>1</v>
      </c>
      <c r="K175" s="20" t="str">
        <f t="shared" si="21"/>
        <v>2016</v>
      </c>
      <c r="L175" s="5" t="s">
        <v>308</v>
      </c>
    </row>
    <row r="176" spans="6:12" x14ac:dyDescent="0.3">
      <c r="F176" s="5" t="s">
        <v>22</v>
      </c>
      <c r="G176" s="5" t="s">
        <v>31</v>
      </c>
      <c r="H176" s="5" t="s">
        <v>6</v>
      </c>
      <c r="I176" s="21" t="str">
        <f t="shared" si="19"/>
        <v>Operations</v>
      </c>
      <c r="J176" s="12">
        <f t="shared" si="20"/>
        <v>1</v>
      </c>
      <c r="K176" s="20" t="str">
        <f t="shared" si="21"/>
        <v>2015</v>
      </c>
      <c r="L176" s="5" t="s">
        <v>21</v>
      </c>
    </row>
    <row r="177" spans="6:12" x14ac:dyDescent="0.3">
      <c r="F177" s="5" t="s">
        <v>4</v>
      </c>
      <c r="G177" s="5" t="s">
        <v>5</v>
      </c>
      <c r="H177" s="5" t="s">
        <v>6</v>
      </c>
      <c r="I177" s="21" t="str">
        <f t="shared" si="19"/>
        <v>IT</v>
      </c>
      <c r="J177" s="12">
        <f t="shared" si="20"/>
        <v>1</v>
      </c>
      <c r="K177" s="20" t="str">
        <f t="shared" si="21"/>
        <v>2015</v>
      </c>
      <c r="L177" s="5" t="s">
        <v>7</v>
      </c>
    </row>
    <row r="178" spans="6:12" x14ac:dyDescent="0.3">
      <c r="F178" s="5" t="s">
        <v>4</v>
      </c>
      <c r="G178" s="5" t="s">
        <v>52</v>
      </c>
      <c r="H178" s="5" t="s">
        <v>6</v>
      </c>
      <c r="I178" s="21" t="str">
        <f t="shared" si="19"/>
        <v>IT</v>
      </c>
      <c r="J178" s="12">
        <f t="shared" si="20"/>
        <v>1</v>
      </c>
      <c r="K178" s="20" t="str">
        <f t="shared" si="21"/>
        <v>2015</v>
      </c>
      <c r="L178" s="5" t="s">
        <v>12</v>
      </c>
    </row>
    <row r="179" spans="6:12" x14ac:dyDescent="0.3">
      <c r="F179" s="5" t="s">
        <v>4</v>
      </c>
      <c r="G179" s="5" t="s">
        <v>73</v>
      </c>
      <c r="H179" s="5" t="s">
        <v>6</v>
      </c>
      <c r="I179" s="21" t="str">
        <f t="shared" si="19"/>
        <v>IT</v>
      </c>
      <c r="J179" s="12">
        <f t="shared" si="20"/>
        <v>1</v>
      </c>
      <c r="K179" s="20" t="str">
        <f t="shared" si="21"/>
        <v>2015</v>
      </c>
      <c r="L179" s="5" t="s">
        <v>17</v>
      </c>
    </row>
    <row r="180" spans="6:12" x14ac:dyDescent="0.3">
      <c r="F180" s="5" t="s">
        <v>41</v>
      </c>
      <c r="G180" s="5" t="s">
        <v>11</v>
      </c>
      <c r="H180" s="5" t="s">
        <v>6</v>
      </c>
      <c r="I180" s="21" t="str">
        <f t="shared" si="19"/>
        <v>Finance</v>
      </c>
      <c r="J180" s="12">
        <f t="shared" si="20"/>
        <v>1</v>
      </c>
      <c r="K180" s="20" t="str">
        <f t="shared" si="21"/>
        <v>2015</v>
      </c>
      <c r="L180" s="5" t="s">
        <v>32</v>
      </c>
    </row>
    <row r="181" spans="6:12" x14ac:dyDescent="0.3">
      <c r="F181" s="5" t="s">
        <v>41</v>
      </c>
      <c r="G181" s="5" t="s">
        <v>23</v>
      </c>
      <c r="H181" s="5" t="s">
        <v>6</v>
      </c>
      <c r="I181" s="21" t="str">
        <f t="shared" si="19"/>
        <v>Finance</v>
      </c>
      <c r="J181" s="12">
        <f t="shared" si="20"/>
        <v>1</v>
      </c>
      <c r="K181" s="20" t="str">
        <f t="shared" si="21"/>
        <v>2016</v>
      </c>
      <c r="L181" s="5" t="s">
        <v>308</v>
      </c>
    </row>
    <row r="182" spans="6:12" x14ac:dyDescent="0.3">
      <c r="F182" s="5" t="s">
        <v>77</v>
      </c>
      <c r="G182" s="5" t="s">
        <v>59</v>
      </c>
      <c r="H182" s="5" t="s">
        <v>6</v>
      </c>
      <c r="I182" s="21" t="str">
        <f t="shared" si="19"/>
        <v>Sales</v>
      </c>
      <c r="J182" s="12">
        <f t="shared" si="20"/>
        <v>1</v>
      </c>
      <c r="K182" s="20" t="str">
        <f t="shared" si="21"/>
        <v>2015</v>
      </c>
      <c r="L182" s="5" t="s">
        <v>7</v>
      </c>
    </row>
    <row r="183" spans="6:12" x14ac:dyDescent="0.3">
      <c r="F183" s="5" t="s">
        <v>24</v>
      </c>
      <c r="G183" s="5" t="s">
        <v>9</v>
      </c>
      <c r="H183" s="5" t="s">
        <v>6</v>
      </c>
      <c r="I183" s="21" t="str">
        <f t="shared" si="19"/>
        <v>Finance</v>
      </c>
      <c r="J183" s="12">
        <f t="shared" si="20"/>
        <v>1</v>
      </c>
      <c r="K183" s="20" t="str">
        <f t="shared" si="21"/>
        <v>2016</v>
      </c>
      <c r="L183" s="5" t="s">
        <v>308</v>
      </c>
    </row>
    <row r="184" spans="6:12" x14ac:dyDescent="0.3">
      <c r="F184" s="5" t="s">
        <v>24</v>
      </c>
      <c r="G184" s="5" t="s">
        <v>26</v>
      </c>
      <c r="H184" s="5" t="s">
        <v>6</v>
      </c>
      <c r="I184" s="21" t="str">
        <f t="shared" si="19"/>
        <v>Finance</v>
      </c>
      <c r="J184" s="12">
        <f t="shared" si="20"/>
        <v>1</v>
      </c>
      <c r="K184" s="20" t="str">
        <f t="shared" si="21"/>
        <v>2015</v>
      </c>
      <c r="L184" s="5" t="s">
        <v>308</v>
      </c>
    </row>
    <row r="185" spans="6:12" x14ac:dyDescent="0.3">
      <c r="F185" s="5" t="s">
        <v>94</v>
      </c>
      <c r="G185" s="5" t="s">
        <v>29</v>
      </c>
      <c r="H185" s="5" t="s">
        <v>6</v>
      </c>
      <c r="I185" s="21" t="str">
        <f t="shared" si="19"/>
        <v>Marketing</v>
      </c>
      <c r="J185" s="12">
        <f t="shared" si="20"/>
        <v>1</v>
      </c>
      <c r="K185" s="20" t="str">
        <f t="shared" si="21"/>
        <v>2015</v>
      </c>
      <c r="L185" s="5" t="s">
        <v>17</v>
      </c>
    </row>
    <row r="190" spans="6:12" x14ac:dyDescent="0.3">
      <c r="J190"/>
    </row>
    <row r="191" spans="6:12" x14ac:dyDescent="0.3">
      <c r="J191"/>
    </row>
    <row r="192" spans="6:12" x14ac:dyDescent="0.3">
      <c r="J192"/>
    </row>
  </sheetData>
  <sortState xmlns:xlrd2="http://schemas.microsoft.com/office/spreadsheetml/2017/richdata2" ref="F40:M185">
    <sortCondition ref="F40:F185"/>
  </sortState>
  <mergeCells count="10">
    <mergeCell ref="B38:D38"/>
    <mergeCell ref="E1:O1"/>
    <mergeCell ref="F38:L38"/>
    <mergeCell ref="O38:V38"/>
    <mergeCell ref="E2:E3"/>
    <mergeCell ref="F2:F3"/>
    <mergeCell ref="G2:G3"/>
    <mergeCell ref="H2:H3"/>
    <mergeCell ref="J2:O2"/>
    <mergeCell ref="I2:I3"/>
  </mergeCells>
  <pageMargins left="0.7" right="0.7" top="0.75" bottom="0.75" header="0.3" footer="0.3"/>
  <pageSetup paperSize="9" orientation="portrait" horizontalDpi="0" verticalDpi="0"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14F0-0304-4E00-AAEE-825BD849D659}">
  <sheetPr>
    <tabColor theme="5" tint="-0.249977111117893"/>
  </sheetPr>
  <dimension ref="A2:H86"/>
  <sheetViews>
    <sheetView showGridLines="0" topLeftCell="D1" zoomScale="70" zoomScaleNormal="70" workbookViewId="0">
      <selection activeCell="A70" sqref="A70"/>
    </sheetView>
  </sheetViews>
  <sheetFormatPr defaultRowHeight="14.4" x14ac:dyDescent="0.3"/>
  <cols>
    <col min="1" max="1" width="29.33203125" customWidth="1"/>
    <col min="2" max="2" width="40.109375" bestFit="1" customWidth="1"/>
    <col min="3" max="3" width="41.6640625" bestFit="1" customWidth="1"/>
    <col min="4" max="4" width="28" bestFit="1" customWidth="1"/>
    <col min="5" max="5" width="16" customWidth="1"/>
    <col min="6" max="6" width="17.109375" customWidth="1"/>
    <col min="7" max="7" width="18" customWidth="1"/>
    <col min="8" max="8" width="16.88671875" customWidth="1"/>
  </cols>
  <sheetData>
    <row r="2" spans="1:8" x14ac:dyDescent="0.3">
      <c r="A2" s="53" t="s">
        <v>333</v>
      </c>
      <c r="B2" s="53"/>
    </row>
    <row r="3" spans="1:8" x14ac:dyDescent="0.3">
      <c r="A3" s="64"/>
      <c r="B3" s="65"/>
      <c r="C3" s="59" t="s">
        <v>140</v>
      </c>
      <c r="D3" s="59" t="s">
        <v>166</v>
      </c>
      <c r="E3" s="59" t="s">
        <v>151</v>
      </c>
      <c r="F3" s="59" t="s">
        <v>142</v>
      </c>
      <c r="G3" s="59" t="s">
        <v>148</v>
      </c>
      <c r="H3" s="59" t="s">
        <v>144</v>
      </c>
    </row>
    <row r="4" spans="1:8" x14ac:dyDescent="0.3">
      <c r="A4" s="57">
        <f>Dashboard!$E$6</f>
        <v>2016</v>
      </c>
      <c r="B4" s="70" t="s">
        <v>334</v>
      </c>
      <c r="C4" s="57">
        <f>COUNTIFS(Calculations!$I$40:$I$185,'Linked Charts'!$C$3,Calculations!$K$40:$K$185,'Linked Charts'!$A$4)</f>
        <v>7</v>
      </c>
      <c r="D4" s="57">
        <f>COUNTIFS(Calculations!$I$40:$I$185,'Linked Charts'!$D$3,Calculations!$K$40:$K$185,'Linked Charts'!$A$4)</f>
        <v>2</v>
      </c>
      <c r="E4" s="57">
        <f>COUNTIFS(Calculations!$I$40:$I$185,'Linked Charts'!$E$3,Calculations!$K$40:$K$185,'Linked Charts'!$A$4)</f>
        <v>0</v>
      </c>
      <c r="F4" s="57">
        <f>COUNTIFS(Calculations!$I$40:$I$185,'Linked Charts'!$F$3,Calculations!$K$40:$K$185,'Linked Charts'!$A$4)</f>
        <v>3</v>
      </c>
      <c r="G4" s="57">
        <f>COUNTIFS(Calculations!$I$40:$I$185,'Linked Charts'!$G$3,Calculations!$K$40:$K$185,'Linked Charts'!$A$4)</f>
        <v>5</v>
      </c>
      <c r="H4" s="57">
        <f>COUNTIFS(Calculations!$I$40:$I$185,'Linked Charts'!$H$3,Calculations!$K$40:$K$185,'Linked Charts'!$A$4)</f>
        <v>3</v>
      </c>
    </row>
    <row r="5" spans="1:8" ht="17.25" customHeight="1" x14ac:dyDescent="0.3">
      <c r="A5" s="57">
        <f>Dashboard!$E$6</f>
        <v>2016</v>
      </c>
      <c r="B5" s="70" t="s">
        <v>312</v>
      </c>
      <c r="C5" s="57">
        <f>SUMIFS(Calculations!$J$40:$J$185,Calculations!$I$40:$I$185,'Linked Charts'!$C$3,Calculations!$K$40:$K$185,'Linked Charts'!$A$5)</f>
        <v>7</v>
      </c>
      <c r="D5" s="57">
        <f>SUMIFS(Calculations!$J$40:$J$185,Calculations!$I$40:$I$185,'Linked Charts'!$D$3,Calculations!$K$40:$K$185,'Linked Charts'!$A$5)</f>
        <v>2</v>
      </c>
      <c r="E5" s="57">
        <f>SUMIFS(Calculations!$J$40:$J$185,Calculations!$I$40:$I$185,'Linked Charts'!$E$3,Calculations!$K$40:$K$185,'Linked Charts'!$A$5)</f>
        <v>0</v>
      </c>
      <c r="F5" s="57">
        <f>SUMIFS(Calculations!$J$40:$J$185,Calculations!$I$40:$I$185,'Linked Charts'!$F$3,Calculations!$K$40:$K$185,'Linked Charts'!$A$5)</f>
        <v>3</v>
      </c>
      <c r="G5" s="57">
        <f>SUMIFS(Calculations!$J$40:$J$185,Calculations!$I$40:$I$185,'Linked Charts'!$G$3,Calculations!$K$40:$K$185,'Linked Charts'!$A$5)</f>
        <v>5</v>
      </c>
      <c r="H5" s="57">
        <f>SUMIFS(Calculations!$J$40:$J$185,Calculations!$I$40:$I$185,'Linked Charts'!$H$3,Calculations!$K$40:$K$185,'Linked Charts'!$A$5)</f>
        <v>3</v>
      </c>
    </row>
    <row r="9" spans="1:8" ht="28.8" x14ac:dyDescent="0.3">
      <c r="A9" s="66" t="s">
        <v>335</v>
      </c>
    </row>
    <row r="10" spans="1:8" x14ac:dyDescent="0.3">
      <c r="B10" s="58"/>
      <c r="C10" s="58"/>
      <c r="D10" s="58"/>
    </row>
    <row r="11" spans="1:8" ht="36" customHeight="1" x14ac:dyDescent="0.3">
      <c r="A11" s="22">
        <f>Dashboard!$E$6</f>
        <v>2016</v>
      </c>
      <c r="B11" s="57" t="s">
        <v>301</v>
      </c>
      <c r="C11" s="57" t="s">
        <v>302</v>
      </c>
      <c r="D11" s="69" t="s">
        <v>319</v>
      </c>
    </row>
    <row r="12" spans="1:8" x14ac:dyDescent="0.3">
      <c r="A12" s="15"/>
      <c r="B12" s="55" t="s">
        <v>11</v>
      </c>
      <c r="C12" s="57">
        <v>10</v>
      </c>
      <c r="D12" s="57">
        <f>COUNTIFS(Calculations!$G$40:$G$185,'Linked Charts'!B12,Calculations!$K$40:$K$185,'Linked Charts'!$A$11)</f>
        <v>0</v>
      </c>
    </row>
    <row r="13" spans="1:8" x14ac:dyDescent="0.3">
      <c r="B13" s="56" t="s">
        <v>5</v>
      </c>
      <c r="C13" s="57">
        <v>5</v>
      </c>
      <c r="D13" s="57">
        <f>COUNTIFS(Calculations!$G$40:$G$185,'Linked Charts'!B13,Calculations!$K$40:$K$185,'Linked Charts'!$A$11)</f>
        <v>0</v>
      </c>
    </row>
    <row r="14" spans="1:8" x14ac:dyDescent="0.3">
      <c r="B14" s="56" t="s">
        <v>61</v>
      </c>
      <c r="C14" s="57">
        <v>30</v>
      </c>
      <c r="D14" s="57">
        <f>COUNTIFS(Calculations!$G$40:$G$185,'Linked Charts'!B14,Calculations!$K$40:$K$185,'Linked Charts'!$A$11)</f>
        <v>0</v>
      </c>
    </row>
    <row r="15" spans="1:8" x14ac:dyDescent="0.3">
      <c r="B15" s="56" t="s">
        <v>65</v>
      </c>
      <c r="C15" s="57">
        <v>25</v>
      </c>
      <c r="D15" s="57">
        <f>COUNTIFS(Calculations!$G$40:$G$185,'Linked Charts'!B15,Calculations!$K$40:$K$185,'Linked Charts'!$A$11)</f>
        <v>0</v>
      </c>
    </row>
    <row r="16" spans="1:8" x14ac:dyDescent="0.3">
      <c r="B16" s="56" t="s">
        <v>29</v>
      </c>
      <c r="C16" s="57">
        <v>20</v>
      </c>
      <c r="D16" s="57">
        <f>COUNTIFS(Calculations!$G$40:$G$185,'Linked Charts'!B16,Calculations!$K$40:$K$185,'Linked Charts'!$A$11)</f>
        <v>0</v>
      </c>
    </row>
    <row r="17" spans="2:4" x14ac:dyDescent="0.3">
      <c r="B17" s="56" t="s">
        <v>56</v>
      </c>
      <c r="C17" s="57">
        <v>5</v>
      </c>
      <c r="D17" s="57">
        <f>COUNTIFS(Calculations!$G$40:$G$185,'Linked Charts'!B17,Calculations!$K$40:$K$185,'Linked Charts'!$A$11)</f>
        <v>0</v>
      </c>
    </row>
    <row r="18" spans="2:4" x14ac:dyDescent="0.3">
      <c r="B18" s="56" t="s">
        <v>50</v>
      </c>
      <c r="C18" s="57">
        <v>25</v>
      </c>
      <c r="D18" s="57">
        <f>COUNTIFS(Calculations!$G$40:$G$185,'Linked Charts'!B18,Calculations!$K$40:$K$185,'Linked Charts'!$A$11)</f>
        <v>0</v>
      </c>
    </row>
    <row r="19" spans="2:4" x14ac:dyDescent="0.3">
      <c r="B19" s="56" t="s">
        <v>59</v>
      </c>
      <c r="C19" s="57">
        <v>15</v>
      </c>
      <c r="D19" s="57">
        <f>COUNTIFS(Calculations!$G$40:$G$185,'Linked Charts'!B19,Calculations!$K$40:$K$185,'Linked Charts'!$A$11)</f>
        <v>0</v>
      </c>
    </row>
    <row r="20" spans="2:4" x14ac:dyDescent="0.3">
      <c r="B20" s="56" t="s">
        <v>52</v>
      </c>
      <c r="C20" s="57">
        <v>15</v>
      </c>
      <c r="D20" s="57">
        <f>COUNTIFS(Calculations!$G$40:$G$185,'Linked Charts'!B20,Calculations!$K$40:$K$185,'Linked Charts'!$A$11)</f>
        <v>0</v>
      </c>
    </row>
    <row r="21" spans="2:4" x14ac:dyDescent="0.3">
      <c r="B21" s="56" t="s">
        <v>16</v>
      </c>
      <c r="C21" s="57">
        <v>5</v>
      </c>
      <c r="D21" s="57">
        <f>COUNTIFS(Calculations!$G$40:$G$185,'Linked Charts'!B21,Calculations!$K$40:$K$185,'Linked Charts'!$A$11)</f>
        <v>0</v>
      </c>
    </row>
    <row r="22" spans="2:4" x14ac:dyDescent="0.3">
      <c r="B22" s="56" t="s">
        <v>39</v>
      </c>
      <c r="C22" s="57">
        <v>20</v>
      </c>
      <c r="D22" s="57">
        <f>COUNTIFS(Calculations!$G$40:$G$185,'Linked Charts'!B22,Calculations!$K$40:$K$185,'Linked Charts'!$A$11)</f>
        <v>0</v>
      </c>
    </row>
    <row r="23" spans="2:4" x14ac:dyDescent="0.3">
      <c r="B23" s="56" t="s">
        <v>46</v>
      </c>
      <c r="C23" s="57">
        <v>30</v>
      </c>
      <c r="D23" s="57">
        <f>COUNTIFS(Calculations!$G$40:$G$185,'Linked Charts'!B23,Calculations!$K$40:$K$185,'Linked Charts'!$A$11)</f>
        <v>0</v>
      </c>
    </row>
    <row r="24" spans="2:4" x14ac:dyDescent="0.3">
      <c r="B24" s="56" t="s">
        <v>73</v>
      </c>
      <c r="C24" s="57">
        <v>30</v>
      </c>
      <c r="D24" s="57">
        <f>COUNTIFS(Calculations!$G$40:$G$185,'Linked Charts'!B24,Calculations!$K$40:$K$185,'Linked Charts'!$A$11)</f>
        <v>0</v>
      </c>
    </row>
    <row r="25" spans="2:4" x14ac:dyDescent="0.3">
      <c r="B25" s="56" t="s">
        <v>31</v>
      </c>
      <c r="C25" s="57">
        <v>20</v>
      </c>
      <c r="D25" s="57">
        <f>COUNTIFS(Calculations!$G$40:$G$185,'Linked Charts'!B25,Calculations!$K$40:$K$185,'Linked Charts'!$A$11)</f>
        <v>0</v>
      </c>
    </row>
    <row r="26" spans="2:4" x14ac:dyDescent="0.3">
      <c r="B26" s="56" t="s">
        <v>19</v>
      </c>
      <c r="C26" s="57">
        <v>10</v>
      </c>
      <c r="D26" s="57">
        <f>COUNTIFS(Calculations!$G$40:$G$185,'Linked Charts'!B26,Calculations!$K$40:$K$185,'Linked Charts'!$A$11)</f>
        <v>0</v>
      </c>
    </row>
    <row r="27" spans="2:4" x14ac:dyDescent="0.3">
      <c r="B27" s="56" t="s">
        <v>54</v>
      </c>
      <c r="C27" s="57">
        <v>5</v>
      </c>
      <c r="D27" s="57">
        <f>COUNTIFS(Calculations!$G$40:$G$185,'Linked Charts'!B27,Calculations!$K$40:$K$185,'Linked Charts'!$A$11)</f>
        <v>0</v>
      </c>
    </row>
    <row r="28" spans="2:4" x14ac:dyDescent="0.3">
      <c r="B28" s="56" t="s">
        <v>26</v>
      </c>
      <c r="C28" s="57">
        <v>30</v>
      </c>
      <c r="D28" s="57">
        <f>COUNTIFS(Calculations!$G$40:$G$185,'Linked Charts'!B28,Calculations!$K$40:$K$185,'Linked Charts'!$A$11)</f>
        <v>0</v>
      </c>
    </row>
    <row r="29" spans="2:4" x14ac:dyDescent="0.3">
      <c r="B29" s="56" t="s">
        <v>14</v>
      </c>
      <c r="C29" s="57">
        <v>15</v>
      </c>
      <c r="D29" s="57">
        <f>COUNTIFS(Calculations!$G$40:$G$185,'Linked Charts'!B29,Calculations!$K$40:$K$185,'Linked Charts'!$A$11)</f>
        <v>0</v>
      </c>
    </row>
    <row r="30" spans="2:4" x14ac:dyDescent="0.3">
      <c r="B30" s="56" t="s">
        <v>76</v>
      </c>
      <c r="C30" s="57">
        <v>20</v>
      </c>
      <c r="D30" s="57">
        <f>COUNTIFS(Calculations!$G$40:$G$185,'Linked Charts'!B30,Calculations!$K$40:$K$185,'Linked Charts'!$A$11)</f>
        <v>0</v>
      </c>
    </row>
    <row r="31" spans="2:4" x14ac:dyDescent="0.3">
      <c r="B31" s="56" t="s">
        <v>23</v>
      </c>
      <c r="C31" s="57">
        <v>30</v>
      </c>
      <c r="D31" s="57">
        <f>COUNTIFS(Calculations!$G$40:$G$185,'Linked Charts'!B31,Calculations!$K$40:$K$185,'Linked Charts'!$A$11)</f>
        <v>9</v>
      </c>
    </row>
    <row r="32" spans="2:4" x14ac:dyDescent="0.3">
      <c r="B32" s="54" t="s">
        <v>9</v>
      </c>
      <c r="C32" s="57">
        <v>15</v>
      </c>
      <c r="D32" s="57">
        <f>COUNTIFS(Calculations!$G$40:$G$185,'Linked Charts'!B32,Calculations!$K$40:$K$185,'Linked Charts'!$A$11)</f>
        <v>11</v>
      </c>
    </row>
    <row r="35" spans="1:8" x14ac:dyDescent="0.3">
      <c r="A35" s="53" t="s">
        <v>307</v>
      </c>
    </row>
    <row r="37" spans="1:8" x14ac:dyDescent="0.3">
      <c r="A37" s="22">
        <f>Dashboard!$E$6</f>
        <v>2016</v>
      </c>
      <c r="B37" s="92" t="s">
        <v>301</v>
      </c>
      <c r="C37" s="96" t="s">
        <v>12</v>
      </c>
      <c r="D37" s="96" t="s">
        <v>32</v>
      </c>
      <c r="E37" s="96" t="s">
        <v>21</v>
      </c>
      <c r="F37" s="96" t="s">
        <v>17</v>
      </c>
      <c r="G37" s="96" t="s">
        <v>7</v>
      </c>
      <c r="H37" s="94" t="s">
        <v>308</v>
      </c>
    </row>
    <row r="38" spans="1:8" x14ac:dyDescent="0.3">
      <c r="B38" s="93"/>
      <c r="C38" s="97"/>
      <c r="D38" s="97"/>
      <c r="E38" s="97"/>
      <c r="F38" s="97"/>
      <c r="G38" s="97"/>
      <c r="H38" s="95"/>
    </row>
    <row r="39" spans="1:8" x14ac:dyDescent="0.3">
      <c r="B39" s="60" t="s">
        <v>11</v>
      </c>
      <c r="C39" s="60">
        <f>COUNTIFS(Calculations!$G$40:$G$185,'Linked Charts'!B39,Calculations!$L$40:$L$185,'Linked Charts'!$C$37,Calculations!$K$40:$K$185,'Linked Charts'!$A$37)</f>
        <v>0</v>
      </c>
      <c r="D39" s="60">
        <f>COUNTIFS(Calculations!$G$40:$G$185,'Linked Charts'!B39,Calculations!$L$40:$L$185,'Linked Charts'!$D$37,Calculations!$K$40:$K$185,'Linked Charts'!$A$37)</f>
        <v>0</v>
      </c>
      <c r="E39" s="60">
        <f>COUNTIFS(Calculations!$G$40:$G$185,'Linked Charts'!B39,Calculations!$L$40:$L$185,'Linked Charts'!$E$37,Calculations!$K$40:$K$185,'Linked Charts'!$A$37)</f>
        <v>0</v>
      </c>
      <c r="F39" s="60">
        <f>COUNTIFS(Calculations!$G$40:$G$185,'Linked Charts'!B39,Calculations!$L$40:$L$185,'Linked Charts'!$F$37,Calculations!$K$40:$K$185,'Linked Charts'!$A$37)</f>
        <v>0</v>
      </c>
      <c r="G39" s="60">
        <f>COUNTIFS(Calculations!$G$40:$G$185,'Linked Charts'!B39,Calculations!$L$40:$L$185,'Linked Charts'!$G$37,Calculations!$K$40:$K$185,'Linked Charts'!$A$37)</f>
        <v>0</v>
      </c>
      <c r="H39" s="60">
        <f>COUNTIFS(Calculations!$G$40:$G$185,'Linked Charts'!B39,Calculations!$L$40:$L$185,'Linked Charts'!$H$37,Calculations!$K$40:$K$185,'Linked Charts'!$A$37)</f>
        <v>0</v>
      </c>
    </row>
    <row r="40" spans="1:8" x14ac:dyDescent="0.3">
      <c r="B40" s="60" t="s">
        <v>5</v>
      </c>
      <c r="C40" s="60">
        <f>COUNTIFS(Calculations!$G$40:$G$185,'Linked Charts'!B40,Calculations!$L$40:$L$185,'Linked Charts'!$C$37,Calculations!$K$40:$K$185,'Linked Charts'!$A$37)</f>
        <v>0</v>
      </c>
      <c r="D40" s="60">
        <f>COUNTIFS(Calculations!$G$40:$G$185,'Linked Charts'!B40,Calculations!$L$40:$L$185,'Linked Charts'!$D$37,Calculations!$K$40:$K$185,'Linked Charts'!$A$37)</f>
        <v>0</v>
      </c>
      <c r="E40" s="60">
        <f>COUNTIFS(Calculations!$G$40:$G$185,'Linked Charts'!B40,Calculations!$L$40:$L$185,'Linked Charts'!$E$37,Calculations!$K$40:$K$185,'Linked Charts'!$A$37)</f>
        <v>0</v>
      </c>
      <c r="F40" s="60">
        <f>COUNTIFS(Calculations!$G$40:$G$185,'Linked Charts'!B40,Calculations!$L$40:$L$185,'Linked Charts'!$F$37,Calculations!$K$40:$K$185,'Linked Charts'!$A$37)</f>
        <v>0</v>
      </c>
      <c r="G40" s="60">
        <f>COUNTIFS(Calculations!$G$40:$G$185,'Linked Charts'!B40,Calculations!$L$40:$L$185,'Linked Charts'!$G$37,Calculations!$K$40:$K$185,'Linked Charts'!$A$37)</f>
        <v>0</v>
      </c>
      <c r="H40" s="60">
        <f>COUNTIFS(Calculations!$G$40:$G$185,'Linked Charts'!B40,Calculations!$L$40:$L$185,'Linked Charts'!$H$37,Calculations!$K$40:$K$185,'Linked Charts'!$A$37)</f>
        <v>0</v>
      </c>
    </row>
    <row r="41" spans="1:8" x14ac:dyDescent="0.3">
      <c r="B41" s="60" t="s">
        <v>61</v>
      </c>
      <c r="C41" s="60">
        <f>COUNTIFS(Calculations!$G$40:$G$185,'Linked Charts'!B41,Calculations!$L$40:$L$185,'Linked Charts'!$C$37,Calculations!$K$40:$K$185,'Linked Charts'!$A$37)</f>
        <v>0</v>
      </c>
      <c r="D41" s="60">
        <f>COUNTIFS(Calculations!$G$40:$G$185,'Linked Charts'!B41,Calculations!$L$40:$L$185,'Linked Charts'!$D$37,Calculations!$K$40:$K$185,'Linked Charts'!$A$37)</f>
        <v>0</v>
      </c>
      <c r="E41" s="60">
        <f>COUNTIFS(Calculations!$G$40:$G$185,'Linked Charts'!B41,Calculations!$L$40:$L$185,'Linked Charts'!$E$37,Calculations!$K$40:$K$185,'Linked Charts'!$A$37)</f>
        <v>0</v>
      </c>
      <c r="F41" s="60">
        <f>COUNTIFS(Calculations!$G$40:$G$185,'Linked Charts'!B41,Calculations!$L$40:$L$185,'Linked Charts'!$F$37,Calculations!$K$40:$K$185,'Linked Charts'!$A$37)</f>
        <v>0</v>
      </c>
      <c r="G41" s="60">
        <f>COUNTIFS(Calculations!$G$40:$G$185,'Linked Charts'!B41,Calculations!$L$40:$L$185,'Linked Charts'!$G$37,Calculations!$K$40:$K$185,'Linked Charts'!$A$37)</f>
        <v>0</v>
      </c>
      <c r="H41" s="60">
        <f>COUNTIFS(Calculations!$G$40:$G$185,'Linked Charts'!B41,Calculations!$L$40:$L$185,'Linked Charts'!$H$37,Calculations!$K$40:$K$185,'Linked Charts'!$A$37)</f>
        <v>0</v>
      </c>
    </row>
    <row r="42" spans="1:8" x14ac:dyDescent="0.3">
      <c r="B42" s="60" t="s">
        <v>65</v>
      </c>
      <c r="C42" s="60">
        <f>COUNTIFS(Calculations!$G$40:$G$185,'Linked Charts'!B42,Calculations!$L$40:$L$185,'Linked Charts'!$C$37,Calculations!$K$40:$K$185,'Linked Charts'!$A$37)</f>
        <v>0</v>
      </c>
      <c r="D42" s="60">
        <f>COUNTIFS(Calculations!$G$40:$G$185,'Linked Charts'!B42,Calculations!$L$40:$L$185,'Linked Charts'!$D$37,Calculations!$K$40:$K$185,'Linked Charts'!$A$37)</f>
        <v>0</v>
      </c>
      <c r="E42" s="60">
        <f>COUNTIFS(Calculations!$G$40:$G$185,'Linked Charts'!B42,Calculations!$L$40:$L$185,'Linked Charts'!$E$37,Calculations!$K$40:$K$185,'Linked Charts'!$A$37)</f>
        <v>0</v>
      </c>
      <c r="F42" s="60">
        <f>COUNTIFS(Calculations!$G$40:$G$185,'Linked Charts'!B42,Calculations!$L$40:$L$185,'Linked Charts'!$F$37,Calculations!$K$40:$K$185,'Linked Charts'!$A$37)</f>
        <v>0</v>
      </c>
      <c r="G42" s="60">
        <f>COUNTIFS(Calculations!$G$40:$G$185,'Linked Charts'!B42,Calculations!$L$40:$L$185,'Linked Charts'!$G$37,Calculations!$K$40:$K$185,'Linked Charts'!$A$37)</f>
        <v>0</v>
      </c>
      <c r="H42" s="60">
        <f>COUNTIFS(Calculations!$G$40:$G$185,'Linked Charts'!B42,Calculations!$L$40:$L$185,'Linked Charts'!$H$37,Calculations!$K$40:$K$185,'Linked Charts'!$A$37)</f>
        <v>0</v>
      </c>
    </row>
    <row r="43" spans="1:8" x14ac:dyDescent="0.3">
      <c r="B43" s="60" t="s">
        <v>29</v>
      </c>
      <c r="C43" s="60">
        <f>COUNTIFS(Calculations!$G$40:$G$185,'Linked Charts'!B43,Calculations!$L$40:$L$185,'Linked Charts'!$C$37,Calculations!$K$40:$K$185,'Linked Charts'!$A$37)</f>
        <v>0</v>
      </c>
      <c r="D43" s="60">
        <f>COUNTIFS(Calculations!$G$40:$G$185,'Linked Charts'!B43,Calculations!$L$40:$L$185,'Linked Charts'!$D$37,Calculations!$K$40:$K$185,'Linked Charts'!$A$37)</f>
        <v>0</v>
      </c>
      <c r="E43" s="60">
        <f>COUNTIFS(Calculations!$G$40:$G$185,'Linked Charts'!B43,Calculations!$L$40:$L$185,'Linked Charts'!$E$37,Calculations!$K$40:$K$185,'Linked Charts'!$A$37)</f>
        <v>0</v>
      </c>
      <c r="F43" s="60">
        <f>COUNTIFS(Calculations!$G$40:$G$185,'Linked Charts'!B43,Calculations!$L$40:$L$185,'Linked Charts'!$F$37,Calculations!$K$40:$K$185,'Linked Charts'!$A$37)</f>
        <v>0</v>
      </c>
      <c r="G43" s="60">
        <f>COUNTIFS(Calculations!$G$40:$G$185,'Linked Charts'!B43,Calculations!$L$40:$L$185,'Linked Charts'!$G$37,Calculations!$K$40:$K$185,'Linked Charts'!$A$37)</f>
        <v>0</v>
      </c>
      <c r="H43" s="60">
        <f>COUNTIFS(Calculations!$G$40:$G$185,'Linked Charts'!B43,Calculations!$L$40:$L$185,'Linked Charts'!$H$37,Calculations!$K$40:$K$185,'Linked Charts'!$A$37)</f>
        <v>0</v>
      </c>
    </row>
    <row r="44" spans="1:8" x14ac:dyDescent="0.3">
      <c r="B44" s="60" t="s">
        <v>56</v>
      </c>
      <c r="C44" s="60">
        <f>COUNTIFS(Calculations!$G$40:$G$185,'Linked Charts'!B44,Calculations!$L$40:$L$185,'Linked Charts'!$C$37,Calculations!$K$40:$K$185,'Linked Charts'!$A$37)</f>
        <v>0</v>
      </c>
      <c r="D44" s="60">
        <f>COUNTIFS(Calculations!$G$40:$G$185,'Linked Charts'!B44,Calculations!$L$40:$L$185,'Linked Charts'!$D$37,Calculations!$K$40:$K$185,'Linked Charts'!$A$37)</f>
        <v>0</v>
      </c>
      <c r="E44" s="60">
        <f>COUNTIFS(Calculations!$G$40:$G$185,'Linked Charts'!B44,Calculations!$L$40:$L$185,'Linked Charts'!$E$37,Calculations!$K$40:$K$185,'Linked Charts'!$A$37)</f>
        <v>0</v>
      </c>
      <c r="F44" s="60">
        <f>COUNTIFS(Calculations!$G$40:$G$185,'Linked Charts'!B44,Calculations!$L$40:$L$185,'Linked Charts'!$F$37,Calculations!$K$40:$K$185,'Linked Charts'!$A$37)</f>
        <v>0</v>
      </c>
      <c r="G44" s="60">
        <f>COUNTIFS(Calculations!$G$40:$G$185,'Linked Charts'!B44,Calculations!$L$40:$L$185,'Linked Charts'!$G$37,Calculations!$K$40:$K$185,'Linked Charts'!$A$37)</f>
        <v>0</v>
      </c>
      <c r="H44" s="60">
        <f>COUNTIFS(Calculations!$G$40:$G$185,'Linked Charts'!B44,Calculations!$L$40:$L$185,'Linked Charts'!$H$37,Calculations!$K$40:$K$185,'Linked Charts'!$A$37)</f>
        <v>0</v>
      </c>
    </row>
    <row r="45" spans="1:8" x14ac:dyDescent="0.3">
      <c r="B45" s="60" t="s">
        <v>50</v>
      </c>
      <c r="C45" s="60">
        <f>COUNTIFS(Calculations!$G$40:$G$185,'Linked Charts'!B45,Calculations!$L$40:$L$185,'Linked Charts'!$C$37,Calculations!$K$40:$K$185,'Linked Charts'!$A$37)</f>
        <v>0</v>
      </c>
      <c r="D45" s="60">
        <f>COUNTIFS(Calculations!$G$40:$G$185,'Linked Charts'!B45,Calculations!$L$40:$L$185,'Linked Charts'!$D$37,Calculations!$K$40:$K$185,'Linked Charts'!$A$37)</f>
        <v>0</v>
      </c>
      <c r="E45" s="60">
        <f>COUNTIFS(Calculations!$G$40:$G$185,'Linked Charts'!B45,Calculations!$L$40:$L$185,'Linked Charts'!$E$37,Calculations!$K$40:$K$185,'Linked Charts'!$A$37)</f>
        <v>0</v>
      </c>
      <c r="F45" s="60">
        <f>COUNTIFS(Calculations!$G$40:$G$185,'Linked Charts'!B45,Calculations!$L$40:$L$185,'Linked Charts'!$F$37,Calculations!$K$40:$K$185,'Linked Charts'!$A$37)</f>
        <v>0</v>
      </c>
      <c r="G45" s="60">
        <f>COUNTIFS(Calculations!$G$40:$G$185,'Linked Charts'!B45,Calculations!$L$40:$L$185,'Linked Charts'!$G$37,Calculations!$K$40:$K$185,'Linked Charts'!$A$37)</f>
        <v>0</v>
      </c>
      <c r="H45" s="60">
        <f>COUNTIFS(Calculations!$G$40:$G$185,'Linked Charts'!B45,Calculations!$L$40:$L$185,'Linked Charts'!$H$37,Calculations!$K$40:$K$185,'Linked Charts'!$A$37)</f>
        <v>0</v>
      </c>
    </row>
    <row r="46" spans="1:8" x14ac:dyDescent="0.3">
      <c r="B46" s="60" t="s">
        <v>59</v>
      </c>
      <c r="C46" s="60">
        <f>COUNTIFS(Calculations!$G$40:$G$185,'Linked Charts'!B46,Calculations!$L$40:$L$185,'Linked Charts'!$C$37,Calculations!$K$40:$K$185,'Linked Charts'!$A$37)</f>
        <v>0</v>
      </c>
      <c r="D46" s="60">
        <f>COUNTIFS(Calculations!$G$40:$G$185,'Linked Charts'!B46,Calculations!$L$40:$L$185,'Linked Charts'!$D$37,Calculations!$K$40:$K$185,'Linked Charts'!$A$37)</f>
        <v>0</v>
      </c>
      <c r="E46" s="60">
        <f>COUNTIFS(Calculations!$G$40:$G$185,'Linked Charts'!B46,Calculations!$L$40:$L$185,'Linked Charts'!$E$37,Calculations!$K$40:$K$185,'Linked Charts'!$A$37)</f>
        <v>0</v>
      </c>
      <c r="F46" s="60">
        <f>COUNTIFS(Calculations!$G$40:$G$185,'Linked Charts'!B46,Calculations!$L$40:$L$185,'Linked Charts'!$F$37,Calculations!$K$40:$K$185,'Linked Charts'!$A$37)</f>
        <v>0</v>
      </c>
      <c r="G46" s="60">
        <f>COUNTIFS(Calculations!$G$40:$G$185,'Linked Charts'!B46,Calculations!$L$40:$L$185,'Linked Charts'!$G$37,Calculations!$K$40:$K$185,'Linked Charts'!$A$37)</f>
        <v>0</v>
      </c>
      <c r="H46" s="60">
        <f>COUNTIFS(Calculations!$G$40:$G$185,'Linked Charts'!B46,Calculations!$L$40:$L$185,'Linked Charts'!$H$37,Calculations!$K$40:$K$185,'Linked Charts'!$A$37)</f>
        <v>0</v>
      </c>
    </row>
    <row r="47" spans="1:8" x14ac:dyDescent="0.3">
      <c r="B47" s="60" t="s">
        <v>52</v>
      </c>
      <c r="C47" s="60">
        <f>COUNTIFS(Calculations!$G$40:$G$185,'Linked Charts'!B47,Calculations!$L$40:$L$185,'Linked Charts'!$C$37,Calculations!$K$40:$K$185,'Linked Charts'!$A$37)</f>
        <v>0</v>
      </c>
      <c r="D47" s="60">
        <f>COUNTIFS(Calculations!$G$40:$G$185,'Linked Charts'!B47,Calculations!$L$40:$L$185,'Linked Charts'!$D$37,Calculations!$K$40:$K$185,'Linked Charts'!$A$37)</f>
        <v>0</v>
      </c>
      <c r="E47" s="60">
        <f>COUNTIFS(Calculations!$G$40:$G$185,'Linked Charts'!B47,Calculations!$L$40:$L$185,'Linked Charts'!$E$37,Calculations!$K$40:$K$185,'Linked Charts'!$A$37)</f>
        <v>0</v>
      </c>
      <c r="F47" s="60">
        <f>COUNTIFS(Calculations!$G$40:$G$185,'Linked Charts'!B47,Calculations!$L$40:$L$185,'Linked Charts'!$F$37,Calculations!$K$40:$K$185,'Linked Charts'!$A$37)</f>
        <v>0</v>
      </c>
      <c r="G47" s="60">
        <f>COUNTIFS(Calculations!$G$40:$G$185,'Linked Charts'!B47,Calculations!$L$40:$L$185,'Linked Charts'!$G$37,Calculations!$K$40:$K$185,'Linked Charts'!$A$37)</f>
        <v>0</v>
      </c>
      <c r="H47" s="60">
        <f>COUNTIFS(Calculations!$G$40:$G$185,'Linked Charts'!B47,Calculations!$L$40:$L$185,'Linked Charts'!$H$37,Calculations!$K$40:$K$185,'Linked Charts'!$A$37)</f>
        <v>0</v>
      </c>
    </row>
    <row r="48" spans="1:8" x14ac:dyDescent="0.3">
      <c r="B48" s="60" t="s">
        <v>16</v>
      </c>
      <c r="C48" s="60">
        <f>COUNTIFS(Calculations!$G$40:$G$185,'Linked Charts'!B48,Calculations!$L$40:$L$185,'Linked Charts'!$C$37,Calculations!$K$40:$K$185,'Linked Charts'!$A$37)</f>
        <v>0</v>
      </c>
      <c r="D48" s="60">
        <f>COUNTIFS(Calculations!$G$40:$G$185,'Linked Charts'!B48,Calculations!$L$40:$L$185,'Linked Charts'!$D$37,Calculations!$K$40:$K$185,'Linked Charts'!$A$37)</f>
        <v>0</v>
      </c>
      <c r="E48" s="60">
        <f>COUNTIFS(Calculations!$G$40:$G$185,'Linked Charts'!B48,Calculations!$L$40:$L$185,'Linked Charts'!$E$37,Calculations!$K$40:$K$185,'Linked Charts'!$A$37)</f>
        <v>0</v>
      </c>
      <c r="F48" s="60">
        <f>COUNTIFS(Calculations!$G$40:$G$185,'Linked Charts'!B48,Calculations!$L$40:$L$185,'Linked Charts'!$F$37,Calculations!$K$40:$K$185,'Linked Charts'!$A$37)</f>
        <v>0</v>
      </c>
      <c r="G48" s="60">
        <f>COUNTIFS(Calculations!$G$40:$G$185,'Linked Charts'!B48,Calculations!$L$40:$L$185,'Linked Charts'!$G$37,Calculations!$K$40:$K$185,'Linked Charts'!$A$37)</f>
        <v>0</v>
      </c>
      <c r="H48" s="60">
        <f>COUNTIFS(Calculations!$G$40:$G$185,'Linked Charts'!B48,Calculations!$L$40:$L$185,'Linked Charts'!$H$37,Calculations!$K$40:$K$185,'Linked Charts'!$A$37)</f>
        <v>0</v>
      </c>
    </row>
    <row r="49" spans="1:8" x14ac:dyDescent="0.3">
      <c r="B49" s="60" t="s">
        <v>39</v>
      </c>
      <c r="C49" s="60">
        <f>COUNTIFS(Calculations!$G$40:$G$185,'Linked Charts'!B49,Calculations!$L$40:$L$185,'Linked Charts'!$C$37,Calculations!$K$40:$K$185,'Linked Charts'!$A$37)</f>
        <v>0</v>
      </c>
      <c r="D49" s="60">
        <f>COUNTIFS(Calculations!$G$40:$G$185,'Linked Charts'!B49,Calculations!$L$40:$L$185,'Linked Charts'!$D$37,Calculations!$K$40:$K$185,'Linked Charts'!$A$37)</f>
        <v>0</v>
      </c>
      <c r="E49" s="60">
        <f>COUNTIFS(Calculations!$G$40:$G$185,'Linked Charts'!B49,Calculations!$L$40:$L$185,'Linked Charts'!$E$37,Calculations!$K$40:$K$185,'Linked Charts'!$A$37)</f>
        <v>0</v>
      </c>
      <c r="F49" s="60">
        <f>COUNTIFS(Calculations!$G$40:$G$185,'Linked Charts'!B49,Calculations!$L$40:$L$185,'Linked Charts'!$F$37,Calculations!$K$40:$K$185,'Linked Charts'!$A$37)</f>
        <v>0</v>
      </c>
      <c r="G49" s="60">
        <f>COUNTIFS(Calculations!$G$40:$G$185,'Linked Charts'!B49,Calculations!$L$40:$L$185,'Linked Charts'!$G$37,Calculations!$K$40:$K$185,'Linked Charts'!$A$37)</f>
        <v>0</v>
      </c>
      <c r="H49" s="60">
        <f>COUNTIFS(Calculations!$G$40:$G$185,'Linked Charts'!B49,Calculations!$L$40:$L$185,'Linked Charts'!$H$37,Calculations!$K$40:$K$185,'Linked Charts'!$A$37)</f>
        <v>0</v>
      </c>
    </row>
    <row r="50" spans="1:8" x14ac:dyDescent="0.3">
      <c r="B50" s="60" t="s">
        <v>46</v>
      </c>
      <c r="C50" s="60">
        <f>COUNTIFS(Calculations!$G$40:$G$185,'Linked Charts'!B50,Calculations!$L$40:$L$185,'Linked Charts'!$C$37,Calculations!$K$40:$K$185,'Linked Charts'!$A$37)</f>
        <v>0</v>
      </c>
      <c r="D50" s="60">
        <f>COUNTIFS(Calculations!$G$40:$G$185,'Linked Charts'!B50,Calculations!$L$40:$L$185,'Linked Charts'!$D$37,Calculations!$K$40:$K$185,'Linked Charts'!$A$37)</f>
        <v>0</v>
      </c>
      <c r="E50" s="60">
        <f>COUNTIFS(Calculations!$G$40:$G$185,'Linked Charts'!B50,Calculations!$L$40:$L$185,'Linked Charts'!$E$37,Calculations!$K$40:$K$185,'Linked Charts'!$A$37)</f>
        <v>0</v>
      </c>
      <c r="F50" s="60">
        <f>COUNTIFS(Calculations!$G$40:$G$185,'Linked Charts'!B50,Calculations!$L$40:$L$185,'Linked Charts'!$F$37,Calculations!$K$40:$K$185,'Linked Charts'!$A$37)</f>
        <v>0</v>
      </c>
      <c r="G50" s="60">
        <f>COUNTIFS(Calculations!$G$40:$G$185,'Linked Charts'!B50,Calculations!$L$40:$L$185,'Linked Charts'!$G$37,Calculations!$K$40:$K$185,'Linked Charts'!$A$37)</f>
        <v>0</v>
      </c>
      <c r="H50" s="60">
        <f>COUNTIFS(Calculations!$G$40:$G$185,'Linked Charts'!B50,Calculations!$L$40:$L$185,'Linked Charts'!$H$37,Calculations!$K$40:$K$185,'Linked Charts'!$A$37)</f>
        <v>0</v>
      </c>
    </row>
    <row r="51" spans="1:8" x14ac:dyDescent="0.3">
      <c r="B51" s="60" t="s">
        <v>73</v>
      </c>
      <c r="C51" s="60">
        <f>COUNTIFS(Calculations!$G$40:$G$185,'Linked Charts'!B51,Calculations!$L$40:$L$185,'Linked Charts'!$C$37,Calculations!$K$40:$K$185,'Linked Charts'!$A$37)</f>
        <v>0</v>
      </c>
      <c r="D51" s="60">
        <f>COUNTIFS(Calculations!$G$40:$G$185,'Linked Charts'!B51,Calculations!$L$40:$L$185,'Linked Charts'!$D$37,Calculations!$K$40:$K$185,'Linked Charts'!$A$37)</f>
        <v>0</v>
      </c>
      <c r="E51" s="60">
        <f>COUNTIFS(Calculations!$G$40:$G$185,'Linked Charts'!B51,Calculations!$L$40:$L$185,'Linked Charts'!$E$37,Calculations!$K$40:$K$185,'Linked Charts'!$A$37)</f>
        <v>0</v>
      </c>
      <c r="F51" s="60">
        <f>COUNTIFS(Calculations!$G$40:$G$185,'Linked Charts'!B51,Calculations!$L$40:$L$185,'Linked Charts'!$F$37,Calculations!$K$40:$K$185,'Linked Charts'!$A$37)</f>
        <v>0</v>
      </c>
      <c r="G51" s="60">
        <f>COUNTIFS(Calculations!$G$40:$G$185,'Linked Charts'!B51,Calculations!$L$40:$L$185,'Linked Charts'!$G$37,Calculations!$K$40:$K$185,'Linked Charts'!$A$37)</f>
        <v>0</v>
      </c>
      <c r="H51" s="60">
        <f>COUNTIFS(Calculations!$G$40:$G$185,'Linked Charts'!B51,Calculations!$L$40:$L$185,'Linked Charts'!$H$37,Calculations!$K$40:$K$185,'Linked Charts'!$A$37)</f>
        <v>0</v>
      </c>
    </row>
    <row r="52" spans="1:8" x14ac:dyDescent="0.3">
      <c r="B52" s="60" t="s">
        <v>31</v>
      </c>
      <c r="C52" s="60">
        <f>COUNTIFS(Calculations!$G$40:$G$185,'Linked Charts'!B52,Calculations!$L$40:$L$185,'Linked Charts'!$C$37,Calculations!$K$40:$K$185,'Linked Charts'!$A$37)</f>
        <v>0</v>
      </c>
      <c r="D52" s="60">
        <f>COUNTIFS(Calculations!$G$40:$G$185,'Linked Charts'!B52,Calculations!$L$40:$L$185,'Linked Charts'!$D$37,Calculations!$K$40:$K$185,'Linked Charts'!$A$37)</f>
        <v>0</v>
      </c>
      <c r="E52" s="60">
        <f>COUNTIFS(Calculations!$G$40:$G$185,'Linked Charts'!B52,Calculations!$L$40:$L$185,'Linked Charts'!$E$37,Calculations!$K$40:$K$185,'Linked Charts'!$A$37)</f>
        <v>0</v>
      </c>
      <c r="F52" s="60">
        <f>COUNTIFS(Calculations!$G$40:$G$185,'Linked Charts'!B52,Calculations!$L$40:$L$185,'Linked Charts'!$F$37,Calculations!$K$40:$K$185,'Linked Charts'!$A$37)</f>
        <v>0</v>
      </c>
      <c r="G52" s="60">
        <f>COUNTIFS(Calculations!$G$40:$G$185,'Linked Charts'!B52,Calculations!$L$40:$L$185,'Linked Charts'!$G$37,Calculations!$K$40:$K$185,'Linked Charts'!$A$37)</f>
        <v>0</v>
      </c>
      <c r="H52" s="60">
        <f>COUNTIFS(Calculations!$G$40:$G$185,'Linked Charts'!B52,Calculations!$L$40:$L$185,'Linked Charts'!$H$37,Calculations!$K$40:$K$185,'Linked Charts'!$A$37)</f>
        <v>0</v>
      </c>
    </row>
    <row r="53" spans="1:8" x14ac:dyDescent="0.3">
      <c r="B53" s="60" t="s">
        <v>19</v>
      </c>
      <c r="C53" s="60">
        <f>COUNTIFS(Calculations!$G$40:$G$185,'Linked Charts'!B53,Calculations!$L$40:$L$185,'Linked Charts'!$C$37,Calculations!$K$40:$K$185,'Linked Charts'!$A$37)</f>
        <v>0</v>
      </c>
      <c r="D53" s="60">
        <f>COUNTIFS(Calculations!$G$40:$G$185,'Linked Charts'!B53,Calculations!$L$40:$L$185,'Linked Charts'!$D$37,Calculations!$K$40:$K$185,'Linked Charts'!$A$37)</f>
        <v>0</v>
      </c>
      <c r="E53" s="60">
        <f>COUNTIFS(Calculations!$G$40:$G$185,'Linked Charts'!B53,Calculations!$L$40:$L$185,'Linked Charts'!$E$37,Calculations!$K$40:$K$185,'Linked Charts'!$A$37)</f>
        <v>0</v>
      </c>
      <c r="F53" s="60">
        <f>COUNTIFS(Calculations!$G$40:$G$185,'Linked Charts'!B53,Calculations!$L$40:$L$185,'Linked Charts'!$F$37,Calculations!$K$40:$K$185,'Linked Charts'!$A$37)</f>
        <v>0</v>
      </c>
      <c r="G53" s="60">
        <f>COUNTIFS(Calculations!$G$40:$G$185,'Linked Charts'!B53,Calculations!$L$40:$L$185,'Linked Charts'!$G$37,Calculations!$K$40:$K$185,'Linked Charts'!$A$37)</f>
        <v>0</v>
      </c>
      <c r="H53" s="60">
        <f>COUNTIFS(Calculations!$G$40:$G$185,'Linked Charts'!B53,Calculations!$L$40:$L$185,'Linked Charts'!$H$37,Calculations!$K$40:$K$185,'Linked Charts'!$A$37)</f>
        <v>0</v>
      </c>
    </row>
    <row r="54" spans="1:8" x14ac:dyDescent="0.3">
      <c r="B54" s="60" t="s">
        <v>54</v>
      </c>
      <c r="C54" s="60">
        <f>COUNTIFS(Calculations!$G$40:$G$185,'Linked Charts'!B54,Calculations!$L$40:$L$185,'Linked Charts'!$C$37,Calculations!$K$40:$K$185,'Linked Charts'!$A$37)</f>
        <v>0</v>
      </c>
      <c r="D54" s="60">
        <f>COUNTIFS(Calculations!$G$40:$G$185,'Linked Charts'!B54,Calculations!$L$40:$L$185,'Linked Charts'!$D$37,Calculations!$K$40:$K$185,'Linked Charts'!$A$37)</f>
        <v>0</v>
      </c>
      <c r="E54" s="60">
        <f>COUNTIFS(Calculations!$G$40:$G$185,'Linked Charts'!B54,Calculations!$L$40:$L$185,'Linked Charts'!$E$37,Calculations!$K$40:$K$185,'Linked Charts'!$A$37)</f>
        <v>0</v>
      </c>
      <c r="F54" s="60">
        <f>COUNTIFS(Calculations!$G$40:$G$185,'Linked Charts'!B54,Calculations!$L$40:$L$185,'Linked Charts'!$F$37,Calculations!$K$40:$K$185,'Linked Charts'!$A$37)</f>
        <v>0</v>
      </c>
      <c r="G54" s="60">
        <f>COUNTIFS(Calculations!$G$40:$G$185,'Linked Charts'!B54,Calculations!$L$40:$L$185,'Linked Charts'!$G$37,Calculations!$K$40:$K$185,'Linked Charts'!$A$37)</f>
        <v>0</v>
      </c>
      <c r="H54" s="60">
        <f>COUNTIFS(Calculations!$G$40:$G$185,'Linked Charts'!B54,Calculations!$L$40:$L$185,'Linked Charts'!$H$37,Calculations!$K$40:$K$185,'Linked Charts'!$A$37)</f>
        <v>0</v>
      </c>
    </row>
    <row r="55" spans="1:8" x14ac:dyDescent="0.3">
      <c r="B55" s="60" t="s">
        <v>26</v>
      </c>
      <c r="C55" s="60">
        <f>COUNTIFS(Calculations!$G$40:$G$185,'Linked Charts'!B55,Calculations!$L$40:$L$185,'Linked Charts'!$C$37,Calculations!$K$40:$K$185,'Linked Charts'!$A$37)</f>
        <v>0</v>
      </c>
      <c r="D55" s="60">
        <f>COUNTIFS(Calculations!$G$40:$G$185,'Linked Charts'!B55,Calculations!$L$40:$L$185,'Linked Charts'!$D$37,Calculations!$K$40:$K$185,'Linked Charts'!$A$37)</f>
        <v>0</v>
      </c>
      <c r="E55" s="60">
        <f>COUNTIFS(Calculations!$G$40:$G$185,'Linked Charts'!B55,Calculations!$L$40:$L$185,'Linked Charts'!$E$37,Calculations!$K$40:$K$185,'Linked Charts'!$A$37)</f>
        <v>0</v>
      </c>
      <c r="F55" s="60">
        <f>COUNTIFS(Calculations!$G$40:$G$185,'Linked Charts'!B55,Calculations!$L$40:$L$185,'Linked Charts'!$F$37,Calculations!$K$40:$K$185,'Linked Charts'!$A$37)</f>
        <v>0</v>
      </c>
      <c r="G55" s="60">
        <f>COUNTIFS(Calculations!$G$40:$G$185,'Linked Charts'!B55,Calculations!$L$40:$L$185,'Linked Charts'!$G$37,Calculations!$K$40:$K$185,'Linked Charts'!$A$37)</f>
        <v>0</v>
      </c>
      <c r="H55" s="60">
        <f>COUNTIFS(Calculations!$G$40:$G$185,'Linked Charts'!B55,Calculations!$L$40:$L$185,'Linked Charts'!$H$37,Calculations!$K$40:$K$185,'Linked Charts'!$A$37)</f>
        <v>0</v>
      </c>
    </row>
    <row r="56" spans="1:8" x14ac:dyDescent="0.3">
      <c r="B56" s="60" t="s">
        <v>14</v>
      </c>
      <c r="C56" s="60">
        <f>COUNTIFS(Calculations!$G$40:$G$185,'Linked Charts'!B56,Calculations!$L$40:$L$185,'Linked Charts'!$C$37,Calculations!$K$40:$K$185,'Linked Charts'!$A$37)</f>
        <v>0</v>
      </c>
      <c r="D56" s="60">
        <f>COUNTIFS(Calculations!$G$40:$G$185,'Linked Charts'!B56,Calculations!$L$40:$L$185,'Linked Charts'!$D$37,Calculations!$K$40:$K$185,'Linked Charts'!$A$37)</f>
        <v>0</v>
      </c>
      <c r="E56" s="60">
        <f>COUNTIFS(Calculations!$G$40:$G$185,'Linked Charts'!B56,Calculations!$L$40:$L$185,'Linked Charts'!$E$37,Calculations!$K$40:$K$185,'Linked Charts'!$A$37)</f>
        <v>0</v>
      </c>
      <c r="F56" s="60">
        <f>COUNTIFS(Calculations!$G$40:$G$185,'Linked Charts'!B56,Calculations!$L$40:$L$185,'Linked Charts'!$F$37,Calculations!$K$40:$K$185,'Linked Charts'!$A$37)</f>
        <v>0</v>
      </c>
      <c r="G56" s="60">
        <f>COUNTIFS(Calculations!$G$40:$G$185,'Linked Charts'!B56,Calculations!$L$40:$L$185,'Linked Charts'!$G$37,Calculations!$K$40:$K$185,'Linked Charts'!$A$37)</f>
        <v>0</v>
      </c>
      <c r="H56" s="60">
        <f>COUNTIFS(Calculations!$G$40:$G$185,'Linked Charts'!B56,Calculations!$L$40:$L$185,'Linked Charts'!$H$37,Calculations!$K$40:$K$185,'Linked Charts'!$A$37)</f>
        <v>0</v>
      </c>
    </row>
    <row r="57" spans="1:8" x14ac:dyDescent="0.3">
      <c r="B57" s="60" t="s">
        <v>76</v>
      </c>
      <c r="C57" s="60">
        <f>COUNTIFS(Calculations!$G$40:$G$185,'Linked Charts'!B57,Calculations!$L$40:$L$185,'Linked Charts'!$C$37,Calculations!$K$40:$K$185,'Linked Charts'!$A$37)</f>
        <v>0</v>
      </c>
      <c r="D57" s="60">
        <f>COUNTIFS(Calculations!$G$40:$G$185,'Linked Charts'!B57,Calculations!$L$40:$L$185,'Linked Charts'!$D$37,Calculations!$K$40:$K$185,'Linked Charts'!$A$37)</f>
        <v>0</v>
      </c>
      <c r="E57" s="60">
        <f>COUNTIFS(Calculations!$G$40:$G$185,'Linked Charts'!B57,Calculations!$L$40:$L$185,'Linked Charts'!$E$37,Calculations!$K$40:$K$185,'Linked Charts'!$A$37)</f>
        <v>0</v>
      </c>
      <c r="F57" s="60">
        <f>COUNTIFS(Calculations!$G$40:$G$185,'Linked Charts'!B57,Calculations!$L$40:$L$185,'Linked Charts'!$F$37,Calculations!$K$40:$K$185,'Linked Charts'!$A$37)</f>
        <v>0</v>
      </c>
      <c r="G57" s="60">
        <f>COUNTIFS(Calculations!$G$40:$G$185,'Linked Charts'!B57,Calculations!$L$40:$L$185,'Linked Charts'!$G$37,Calculations!$K$40:$K$185,'Linked Charts'!$A$37)</f>
        <v>0</v>
      </c>
      <c r="H57" s="60">
        <f>COUNTIFS(Calculations!$G$40:$G$185,'Linked Charts'!B57,Calculations!$L$40:$L$185,'Linked Charts'!$H$37,Calculations!$K$40:$K$185,'Linked Charts'!$A$37)</f>
        <v>0</v>
      </c>
    </row>
    <row r="58" spans="1:8" x14ac:dyDescent="0.3">
      <c r="B58" s="60" t="s">
        <v>23</v>
      </c>
      <c r="C58" s="60">
        <f>COUNTIFS(Calculations!$G$40:$G$185,'Linked Charts'!B58,Calculations!$L$40:$L$185,'Linked Charts'!$C$37,Calculations!$K$40:$K$185,'Linked Charts'!$A$37)</f>
        <v>0</v>
      </c>
      <c r="D58" s="60">
        <f>COUNTIFS(Calculations!$G$40:$G$185,'Linked Charts'!B58,Calculations!$L$40:$L$185,'Linked Charts'!$D$37,Calculations!$K$40:$K$185,'Linked Charts'!$A$37)</f>
        <v>0</v>
      </c>
      <c r="E58" s="60">
        <f>COUNTIFS(Calculations!$G$40:$G$185,'Linked Charts'!B58,Calculations!$L$40:$L$185,'Linked Charts'!$E$37,Calculations!$K$40:$K$185,'Linked Charts'!$A$37)</f>
        <v>0</v>
      </c>
      <c r="F58" s="60">
        <f>COUNTIFS(Calculations!$G$40:$G$185,'Linked Charts'!B58,Calculations!$L$40:$L$185,'Linked Charts'!$F$37,Calculations!$K$40:$K$185,'Linked Charts'!$A$37)</f>
        <v>0</v>
      </c>
      <c r="G58" s="60">
        <f>COUNTIFS(Calculations!$G$40:$G$185,'Linked Charts'!B58,Calculations!$L$40:$L$185,'Linked Charts'!$G$37,Calculations!$K$40:$K$185,'Linked Charts'!$A$37)</f>
        <v>0</v>
      </c>
      <c r="H58" s="60">
        <f>COUNTIFS(Calculations!$G$40:$G$185,'Linked Charts'!B58,Calculations!$L$40:$L$185,'Linked Charts'!$H$37,Calculations!$K$40:$K$185,'Linked Charts'!$A$37)</f>
        <v>9</v>
      </c>
    </row>
    <row r="59" spans="1:8" x14ac:dyDescent="0.3">
      <c r="B59" s="60" t="s">
        <v>9</v>
      </c>
      <c r="C59" s="60">
        <f>COUNTIFS(Calculations!$G$40:$G$185,'Linked Charts'!B59,Calculations!$L$40:$L$185,'Linked Charts'!$C$37,Calculations!$K$40:$K$185,'Linked Charts'!$A$37)</f>
        <v>0</v>
      </c>
      <c r="D59" s="60">
        <f>COUNTIFS(Calculations!$G$40:$G$185,'Linked Charts'!B59,Calculations!$L$40:$L$185,'Linked Charts'!$D$37,Calculations!$K$40:$K$185,'Linked Charts'!$A$37)</f>
        <v>0</v>
      </c>
      <c r="E59" s="60">
        <f>COUNTIFS(Calculations!$G$40:$G$185,'Linked Charts'!B59,Calculations!$L$40:$L$185,'Linked Charts'!$E$37,Calculations!$K$40:$K$185,'Linked Charts'!$A$37)</f>
        <v>0</v>
      </c>
      <c r="F59" s="60">
        <f>COUNTIFS(Calculations!$G$40:$G$185,'Linked Charts'!B59,Calculations!$L$40:$L$185,'Linked Charts'!$F$37,Calculations!$K$40:$K$185,'Linked Charts'!$A$37)</f>
        <v>0</v>
      </c>
      <c r="G59" s="60">
        <f>COUNTIFS(Calculations!$G$40:$G$185,'Linked Charts'!B59,Calculations!$L$40:$L$185,'Linked Charts'!$G$37,Calculations!$K$40:$K$185,'Linked Charts'!$A$37)</f>
        <v>0</v>
      </c>
      <c r="H59" s="60">
        <f>COUNTIFS(Calculations!$G$40:$G$185,'Linked Charts'!B59,Calculations!$L$40:$L$185,'Linked Charts'!$H$37,Calculations!$K$40:$K$185,'Linked Charts'!$A$37)</f>
        <v>11</v>
      </c>
    </row>
    <row r="63" spans="1:8" x14ac:dyDescent="0.3">
      <c r="A63" s="53" t="s">
        <v>336</v>
      </c>
      <c r="B63" s="22">
        <f>Dashboard!$E$6</f>
        <v>2016</v>
      </c>
    </row>
    <row r="64" spans="1:8" x14ac:dyDescent="0.3">
      <c r="A64" s="62" t="s">
        <v>337</v>
      </c>
      <c r="B64" s="62" t="s">
        <v>339</v>
      </c>
      <c r="C64" s="63" t="s">
        <v>301</v>
      </c>
      <c r="D64" s="62" t="s">
        <v>338</v>
      </c>
    </row>
    <row r="65" spans="1:8" x14ac:dyDescent="0.3">
      <c r="A65" s="61" t="s">
        <v>108</v>
      </c>
      <c r="B65" s="61">
        <f>COUNTIFS(Calculations!$Q$40:$Q$60,'Linked Charts'!A65,Calculations!I$4:I$24,'Linked Charts'!$B$63)</f>
        <v>0</v>
      </c>
      <c r="C65" s="61" t="s">
        <v>11</v>
      </c>
      <c r="D65" s="68">
        <f t="shared" ref="D65:D85" si="0">AVERAGE(C39:H39)</f>
        <v>0</v>
      </c>
    </row>
    <row r="66" spans="1:8" x14ac:dyDescent="0.3">
      <c r="A66" s="61" t="s">
        <v>110</v>
      </c>
      <c r="B66" s="61">
        <f>COUNTIFS(Calculations!$Q$40:$Q$60,'Linked Charts'!A66,Calculations!I$4:I$24,'Linked Charts'!$B$63)</f>
        <v>1</v>
      </c>
      <c r="C66" s="61" t="s">
        <v>5</v>
      </c>
      <c r="D66" s="68">
        <f t="shared" si="0"/>
        <v>0</v>
      </c>
    </row>
    <row r="67" spans="1:8" x14ac:dyDescent="0.3">
      <c r="A67" s="61" t="s">
        <v>112</v>
      </c>
      <c r="B67" s="61">
        <f>COUNTIFS(Calculations!$Q$40:$Q$60,'Linked Charts'!A67,Calculations!I$4:I$24,'Linked Charts'!$B$63)</f>
        <v>1</v>
      </c>
      <c r="C67" s="61" t="s">
        <v>61</v>
      </c>
      <c r="D67" s="68">
        <f t="shared" si="0"/>
        <v>0</v>
      </c>
    </row>
    <row r="68" spans="1:8" x14ac:dyDescent="0.3">
      <c r="A68" s="61" t="s">
        <v>114</v>
      </c>
      <c r="B68" s="61">
        <f>COUNTIFS(Calculations!$Q$40:$Q$60,'Linked Charts'!A68,Calculations!I$4:I$24,'Linked Charts'!$B$63)</f>
        <v>0</v>
      </c>
      <c r="C68" s="61" t="s">
        <v>65</v>
      </c>
      <c r="D68" s="68">
        <f t="shared" si="0"/>
        <v>0</v>
      </c>
      <c r="E68" s="15"/>
      <c r="F68" s="15"/>
      <c r="G68" s="15"/>
      <c r="H68" s="15"/>
    </row>
    <row r="69" spans="1:8" x14ac:dyDescent="0.3">
      <c r="A69" s="61" t="s">
        <v>116</v>
      </c>
      <c r="B69" s="61">
        <f>COUNTIFS(Calculations!$Q$40:$Q$60,'Linked Charts'!A69,Calculations!I$4:I$24,'Linked Charts'!$B$63)</f>
        <v>0</v>
      </c>
      <c r="C69" s="61" t="s">
        <v>29</v>
      </c>
      <c r="D69" s="68">
        <f t="shared" si="0"/>
        <v>0</v>
      </c>
      <c r="E69" s="22"/>
      <c r="F69" s="22"/>
      <c r="G69" s="22"/>
      <c r="H69" s="22"/>
    </row>
    <row r="70" spans="1:8" x14ac:dyDescent="0.3">
      <c r="A70" s="61" t="s">
        <v>118</v>
      </c>
      <c r="B70" s="61">
        <f>COUNTIFS(Calculations!$Q$40:$Q$60,'Linked Charts'!A70,Calculations!I$4:I$24,'Linked Charts'!$B$63)</f>
        <v>0</v>
      </c>
      <c r="C70" s="61" t="s">
        <v>56</v>
      </c>
      <c r="D70" s="68">
        <f t="shared" si="0"/>
        <v>0</v>
      </c>
      <c r="E70" s="22"/>
      <c r="F70" s="22"/>
      <c r="G70" s="22"/>
      <c r="H70" s="22"/>
    </row>
    <row r="71" spans="1:8" x14ac:dyDescent="0.3">
      <c r="A71" s="61" t="s">
        <v>120</v>
      </c>
      <c r="B71" s="61">
        <f>COUNTIFS(Calculations!$Q$40:$Q$60,'Linked Charts'!A71,Calculations!I$4:I$24,'Linked Charts'!$B$63)</f>
        <v>0</v>
      </c>
      <c r="C71" s="61" t="s">
        <v>50</v>
      </c>
      <c r="D71" s="68">
        <f t="shared" si="0"/>
        <v>0</v>
      </c>
    </row>
    <row r="72" spans="1:8" x14ac:dyDescent="0.3">
      <c r="A72" s="61" t="s">
        <v>122</v>
      </c>
      <c r="B72" s="61">
        <f>COUNTIFS(Calculations!$Q$40:$Q$60,'Linked Charts'!A72,Calculations!I$4:I$24,'Linked Charts'!$B$63)</f>
        <v>0</v>
      </c>
      <c r="C72" s="61" t="s">
        <v>59</v>
      </c>
      <c r="D72" s="68">
        <f t="shared" si="0"/>
        <v>0</v>
      </c>
    </row>
    <row r="73" spans="1:8" x14ac:dyDescent="0.3">
      <c r="A73" s="61" t="s">
        <v>124</v>
      </c>
      <c r="B73" s="61">
        <f>COUNTIFS(Calculations!$Q$40:$Q$60,'Linked Charts'!A73,Calculations!I$4:I$24,'Linked Charts'!$B$63)</f>
        <v>0</v>
      </c>
      <c r="C73" s="61" t="s">
        <v>52</v>
      </c>
      <c r="D73" s="68">
        <f t="shared" si="0"/>
        <v>0</v>
      </c>
    </row>
    <row r="74" spans="1:8" x14ac:dyDescent="0.3">
      <c r="A74" s="22"/>
      <c r="B74" s="22"/>
      <c r="C74" s="61" t="s">
        <v>16</v>
      </c>
      <c r="D74" s="68">
        <f t="shared" si="0"/>
        <v>0</v>
      </c>
    </row>
    <row r="75" spans="1:8" x14ac:dyDescent="0.3">
      <c r="A75" s="22"/>
      <c r="B75" s="22"/>
      <c r="C75" s="61" t="s">
        <v>39</v>
      </c>
      <c r="D75" s="68">
        <f t="shared" si="0"/>
        <v>0</v>
      </c>
    </row>
    <row r="76" spans="1:8" x14ac:dyDescent="0.3">
      <c r="A76" s="22"/>
      <c r="B76" s="22"/>
      <c r="C76" s="61" t="s">
        <v>46</v>
      </c>
      <c r="D76" s="68">
        <f t="shared" si="0"/>
        <v>0</v>
      </c>
    </row>
    <row r="77" spans="1:8" x14ac:dyDescent="0.3">
      <c r="A77" s="22"/>
      <c r="B77" s="22"/>
      <c r="C77" s="61" t="s">
        <v>73</v>
      </c>
      <c r="D77" s="68">
        <f t="shared" si="0"/>
        <v>0</v>
      </c>
    </row>
    <row r="78" spans="1:8" x14ac:dyDescent="0.3">
      <c r="A78" s="22"/>
      <c r="B78" s="22"/>
      <c r="C78" s="61" t="s">
        <v>31</v>
      </c>
      <c r="D78" s="68">
        <f t="shared" si="0"/>
        <v>0</v>
      </c>
    </row>
    <row r="79" spans="1:8" x14ac:dyDescent="0.3">
      <c r="A79" s="22"/>
      <c r="B79" s="22"/>
      <c r="C79" s="61" t="s">
        <v>19</v>
      </c>
      <c r="D79" s="68">
        <f t="shared" si="0"/>
        <v>0</v>
      </c>
    </row>
    <row r="80" spans="1:8" x14ac:dyDescent="0.3">
      <c r="A80" s="22"/>
      <c r="B80" s="22"/>
      <c r="C80" s="61" t="s">
        <v>54</v>
      </c>
      <c r="D80" s="68">
        <f t="shared" si="0"/>
        <v>0</v>
      </c>
    </row>
    <row r="81" spans="1:4" x14ac:dyDescent="0.3">
      <c r="A81" s="22"/>
      <c r="B81" s="22"/>
      <c r="C81" s="61" t="s">
        <v>26</v>
      </c>
      <c r="D81" s="68">
        <f t="shared" si="0"/>
        <v>0</v>
      </c>
    </row>
    <row r="82" spans="1:4" x14ac:dyDescent="0.3">
      <c r="A82" s="22"/>
      <c r="B82" s="22"/>
      <c r="C82" s="61" t="s">
        <v>14</v>
      </c>
      <c r="D82" s="68">
        <f t="shared" si="0"/>
        <v>0</v>
      </c>
    </row>
    <row r="83" spans="1:4" x14ac:dyDescent="0.3">
      <c r="A83" s="22"/>
      <c r="B83" s="22"/>
      <c r="C83" s="61" t="s">
        <v>76</v>
      </c>
      <c r="D83" s="68">
        <f t="shared" si="0"/>
        <v>0</v>
      </c>
    </row>
    <row r="84" spans="1:4" x14ac:dyDescent="0.3">
      <c r="A84" s="22"/>
      <c r="B84" s="22"/>
      <c r="C84" s="61" t="s">
        <v>23</v>
      </c>
      <c r="D84" s="68">
        <f t="shared" si="0"/>
        <v>1.5</v>
      </c>
    </row>
    <row r="85" spans="1:4" x14ac:dyDescent="0.3">
      <c r="A85" s="22"/>
      <c r="B85" s="22"/>
      <c r="C85" s="61" t="s">
        <v>9</v>
      </c>
      <c r="D85" s="68">
        <f t="shared" si="0"/>
        <v>1.8333333333333333</v>
      </c>
    </row>
    <row r="86" spans="1:4" x14ac:dyDescent="0.3">
      <c r="A86" s="67"/>
    </row>
  </sheetData>
  <mergeCells count="7">
    <mergeCell ref="B37:B38"/>
    <mergeCell ref="H37:H38"/>
    <mergeCell ref="G37:G38"/>
    <mergeCell ref="F37:F38"/>
    <mergeCell ref="E37:E38"/>
    <mergeCell ref="D37:D38"/>
    <mergeCell ref="C37:C38"/>
  </mergeCells>
  <conditionalFormatting sqref="A65:A73">
    <cfRule type="top10" dxfId="0" priority="1" rank="3"/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47017-7050-4CF3-8FE1-9AFB069B08F4}">
  <sheetPr>
    <tabColor rgb="FF00B050"/>
  </sheetPr>
  <dimension ref="A1:AC77"/>
  <sheetViews>
    <sheetView zoomScale="70" zoomScaleNormal="70" workbookViewId="0">
      <selection activeCell="AC39" sqref="AC39"/>
    </sheetView>
  </sheetViews>
  <sheetFormatPr defaultRowHeight="14.4" x14ac:dyDescent="0.3"/>
  <cols>
    <col min="29" max="29" width="61" customWidth="1"/>
  </cols>
  <sheetData>
    <row r="1" spans="1:29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9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9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9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9" x14ac:dyDescent="0.3">
      <c r="A5" s="14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4"/>
    </row>
    <row r="6" spans="1:29" ht="17.399999999999999" x14ac:dyDescent="0.3">
      <c r="A6" s="14"/>
      <c r="B6" s="13"/>
      <c r="C6" s="127" t="s">
        <v>288</v>
      </c>
      <c r="D6" s="127"/>
      <c r="E6" s="126">
        <v>2016</v>
      </c>
      <c r="F6" s="126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4"/>
    </row>
    <row r="7" spans="1:29" x14ac:dyDescent="0.3">
      <c r="A7" s="14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4"/>
    </row>
    <row r="8" spans="1:29" ht="15" customHeight="1" x14ac:dyDescent="0.3">
      <c r="A8" s="14"/>
      <c r="B8" s="13"/>
      <c r="C8" s="128" t="s">
        <v>292</v>
      </c>
      <c r="D8" s="128"/>
      <c r="E8" s="128"/>
      <c r="F8" s="128"/>
      <c r="G8" s="128"/>
      <c r="H8" s="13"/>
      <c r="I8" s="128" t="s">
        <v>293</v>
      </c>
      <c r="J8" s="128"/>
      <c r="K8" s="128"/>
      <c r="L8" s="128"/>
      <c r="M8" s="128"/>
      <c r="N8" s="13"/>
      <c r="O8" s="128" t="s">
        <v>290</v>
      </c>
      <c r="P8" s="128"/>
      <c r="Q8" s="128"/>
      <c r="R8" s="128"/>
      <c r="S8" s="128"/>
      <c r="T8" s="13"/>
      <c r="U8" s="128" t="s">
        <v>291</v>
      </c>
      <c r="V8" s="128"/>
      <c r="W8" s="128"/>
      <c r="X8" s="128"/>
      <c r="Y8" s="128"/>
      <c r="Z8" s="13"/>
      <c r="AA8" s="14"/>
    </row>
    <row r="9" spans="1:29" ht="15" customHeight="1" x14ac:dyDescent="0.3">
      <c r="A9" s="14"/>
      <c r="B9" s="13"/>
      <c r="C9" s="129"/>
      <c r="D9" s="129"/>
      <c r="E9" s="129"/>
      <c r="F9" s="129"/>
      <c r="G9" s="129"/>
      <c r="H9" s="13"/>
      <c r="I9" s="129"/>
      <c r="J9" s="129"/>
      <c r="K9" s="129"/>
      <c r="L9" s="129"/>
      <c r="M9" s="129"/>
      <c r="N9" s="13"/>
      <c r="O9" s="129"/>
      <c r="P9" s="129"/>
      <c r="Q9" s="129"/>
      <c r="R9" s="129"/>
      <c r="S9" s="129"/>
      <c r="T9" s="13"/>
      <c r="U9" s="129"/>
      <c r="V9" s="129"/>
      <c r="W9" s="129"/>
      <c r="X9" s="129"/>
      <c r="Y9" s="129"/>
      <c r="Z9" s="13"/>
      <c r="AA9" s="14"/>
      <c r="AC9" s="53" t="s">
        <v>350</v>
      </c>
    </row>
    <row r="10" spans="1:29" ht="15" customHeight="1" x14ac:dyDescent="0.3">
      <c r="A10" s="14"/>
      <c r="B10" s="13"/>
      <c r="C10" s="108">
        <f>Calculations!$C$7</f>
        <v>20</v>
      </c>
      <c r="D10" s="109"/>
      <c r="E10" s="109"/>
      <c r="F10" s="109"/>
      <c r="G10" s="110"/>
      <c r="H10" s="13"/>
      <c r="I10" s="120">
        <f>Calculations!$C$5</f>
        <v>9000</v>
      </c>
      <c r="J10" s="121"/>
      <c r="K10" s="121"/>
      <c r="L10" s="121"/>
      <c r="M10" s="122"/>
      <c r="N10" s="18"/>
      <c r="O10" s="108">
        <f>Calculations!$C$6</f>
        <v>20</v>
      </c>
      <c r="P10" s="109"/>
      <c r="Q10" s="109"/>
      <c r="R10" s="109"/>
      <c r="S10" s="110"/>
      <c r="T10" s="13"/>
      <c r="U10" s="114">
        <f>Calculations!$C$10</f>
        <v>0.44444444444444442</v>
      </c>
      <c r="V10" s="115"/>
      <c r="W10" s="115"/>
      <c r="X10" s="115"/>
      <c r="Y10" s="116"/>
      <c r="Z10" s="13"/>
      <c r="AA10" s="14"/>
      <c r="AC10" s="99" t="s">
        <v>351</v>
      </c>
    </row>
    <row r="11" spans="1:29" ht="15" customHeight="1" x14ac:dyDescent="0.3">
      <c r="A11" s="14"/>
      <c r="B11" s="13"/>
      <c r="C11" s="111"/>
      <c r="D11" s="112"/>
      <c r="E11" s="112"/>
      <c r="F11" s="112"/>
      <c r="G11" s="113"/>
      <c r="H11" s="13"/>
      <c r="I11" s="123"/>
      <c r="J11" s="124"/>
      <c r="K11" s="124"/>
      <c r="L11" s="124"/>
      <c r="M11" s="125"/>
      <c r="N11" s="18"/>
      <c r="O11" s="111"/>
      <c r="P11" s="112"/>
      <c r="Q11" s="112"/>
      <c r="R11" s="112"/>
      <c r="S11" s="113"/>
      <c r="T11" s="13"/>
      <c r="U11" s="117"/>
      <c r="V11" s="118"/>
      <c r="W11" s="118"/>
      <c r="X11" s="118"/>
      <c r="Y11" s="119"/>
      <c r="Z11" s="13"/>
      <c r="AA11" s="14"/>
      <c r="AC11" s="99"/>
    </row>
    <row r="12" spans="1:29" ht="15" customHeight="1" x14ac:dyDescent="0.3">
      <c r="A12" s="14"/>
      <c r="B12" s="13"/>
      <c r="C12" s="111"/>
      <c r="D12" s="112"/>
      <c r="E12" s="112"/>
      <c r="F12" s="112"/>
      <c r="G12" s="113"/>
      <c r="H12" s="13"/>
      <c r="I12" s="123"/>
      <c r="J12" s="124"/>
      <c r="K12" s="124"/>
      <c r="L12" s="124"/>
      <c r="M12" s="125"/>
      <c r="N12" s="18"/>
      <c r="O12" s="111"/>
      <c r="P12" s="112"/>
      <c r="Q12" s="112"/>
      <c r="R12" s="112"/>
      <c r="S12" s="113"/>
      <c r="T12" s="13"/>
      <c r="U12" s="117"/>
      <c r="V12" s="118"/>
      <c r="W12" s="118"/>
      <c r="X12" s="118"/>
      <c r="Y12" s="119"/>
      <c r="Z12" s="13"/>
      <c r="AA12" s="14"/>
      <c r="AC12" s="99"/>
    </row>
    <row r="13" spans="1:29" ht="15" customHeight="1" x14ac:dyDescent="0.3">
      <c r="A13" s="14"/>
      <c r="B13" s="13"/>
      <c r="C13" s="111"/>
      <c r="D13" s="112"/>
      <c r="E13" s="112"/>
      <c r="F13" s="112"/>
      <c r="G13" s="113"/>
      <c r="H13" s="13"/>
      <c r="I13" s="123"/>
      <c r="J13" s="124"/>
      <c r="K13" s="124"/>
      <c r="L13" s="124"/>
      <c r="M13" s="125"/>
      <c r="N13" s="18"/>
      <c r="O13" s="111"/>
      <c r="P13" s="112"/>
      <c r="Q13" s="112"/>
      <c r="R13" s="112"/>
      <c r="S13" s="113"/>
      <c r="T13" s="13"/>
      <c r="U13" s="117"/>
      <c r="V13" s="118"/>
      <c r="W13" s="118"/>
      <c r="X13" s="118"/>
      <c r="Y13" s="119"/>
      <c r="Z13" s="13"/>
      <c r="AA13" s="14"/>
      <c r="AC13" s="99"/>
    </row>
    <row r="14" spans="1:29" ht="15" customHeight="1" x14ac:dyDescent="0.3">
      <c r="A14" s="14"/>
      <c r="B14" s="13"/>
      <c r="C14" s="111"/>
      <c r="D14" s="112"/>
      <c r="E14" s="112"/>
      <c r="F14" s="112"/>
      <c r="G14" s="113"/>
      <c r="H14" s="13"/>
      <c r="I14" s="123"/>
      <c r="J14" s="124"/>
      <c r="K14" s="124"/>
      <c r="L14" s="124"/>
      <c r="M14" s="125"/>
      <c r="N14" s="18"/>
      <c r="O14" s="111"/>
      <c r="P14" s="112"/>
      <c r="Q14" s="112"/>
      <c r="R14" s="112"/>
      <c r="S14" s="113"/>
      <c r="T14" s="13"/>
      <c r="U14" s="117"/>
      <c r="V14" s="118"/>
      <c r="W14" s="118"/>
      <c r="X14" s="118"/>
      <c r="Y14" s="119"/>
      <c r="Z14" s="13"/>
      <c r="AA14" s="14"/>
      <c r="AC14" s="99"/>
    </row>
    <row r="15" spans="1:29" ht="15" customHeight="1" x14ac:dyDescent="0.3">
      <c r="A15" s="14"/>
      <c r="B15" s="13"/>
      <c r="C15" s="111"/>
      <c r="D15" s="112"/>
      <c r="E15" s="112"/>
      <c r="F15" s="112"/>
      <c r="G15" s="113"/>
      <c r="H15" s="13"/>
      <c r="I15" s="123"/>
      <c r="J15" s="124"/>
      <c r="K15" s="124"/>
      <c r="L15" s="124"/>
      <c r="M15" s="125"/>
      <c r="N15" s="18"/>
      <c r="O15" s="111"/>
      <c r="P15" s="112"/>
      <c r="Q15" s="112"/>
      <c r="R15" s="112"/>
      <c r="S15" s="113"/>
      <c r="T15" s="13"/>
      <c r="U15" s="117"/>
      <c r="V15" s="118"/>
      <c r="W15" s="118"/>
      <c r="X15" s="118"/>
      <c r="Y15" s="119"/>
      <c r="Z15" s="13"/>
      <c r="AA15" s="14"/>
      <c r="AC15" s="99"/>
    </row>
    <row r="16" spans="1:29" ht="15" customHeight="1" x14ac:dyDescent="0.3">
      <c r="A16" s="14"/>
      <c r="B16" s="13"/>
      <c r="C16" s="111"/>
      <c r="D16" s="112"/>
      <c r="E16" s="112"/>
      <c r="F16" s="112"/>
      <c r="G16" s="113"/>
      <c r="H16" s="13"/>
      <c r="I16" s="123"/>
      <c r="J16" s="124"/>
      <c r="K16" s="124"/>
      <c r="L16" s="124"/>
      <c r="M16" s="125"/>
      <c r="N16" s="18"/>
      <c r="O16" s="111"/>
      <c r="P16" s="112"/>
      <c r="Q16" s="112"/>
      <c r="R16" s="112"/>
      <c r="S16" s="113"/>
      <c r="T16" s="13"/>
      <c r="U16" s="117"/>
      <c r="V16" s="118"/>
      <c r="W16" s="118"/>
      <c r="X16" s="118"/>
      <c r="Y16" s="119"/>
      <c r="Z16" s="13"/>
      <c r="AA16" s="14"/>
    </row>
    <row r="17" spans="1:27" ht="15" customHeight="1" x14ac:dyDescent="0.3">
      <c r="A17" s="14"/>
      <c r="B17" s="13"/>
      <c r="C17" s="111"/>
      <c r="D17" s="112"/>
      <c r="E17" s="112"/>
      <c r="F17" s="112"/>
      <c r="G17" s="113"/>
      <c r="H17" s="13"/>
      <c r="I17" s="123"/>
      <c r="J17" s="124"/>
      <c r="K17" s="124"/>
      <c r="L17" s="124"/>
      <c r="M17" s="125"/>
      <c r="N17" s="18"/>
      <c r="O17" s="111"/>
      <c r="P17" s="112"/>
      <c r="Q17" s="112"/>
      <c r="R17" s="112"/>
      <c r="S17" s="113"/>
      <c r="T17" s="13"/>
      <c r="U17" s="117"/>
      <c r="V17" s="118"/>
      <c r="W17" s="118"/>
      <c r="X17" s="118"/>
      <c r="Y17" s="119"/>
      <c r="Z17" s="13"/>
      <c r="AA17" s="14"/>
    </row>
    <row r="18" spans="1:27" ht="15" customHeight="1" x14ac:dyDescent="0.3">
      <c r="A18" s="14"/>
      <c r="B18" s="13"/>
      <c r="C18" s="111"/>
      <c r="D18" s="112"/>
      <c r="E18" s="112"/>
      <c r="F18" s="112"/>
      <c r="G18" s="113"/>
      <c r="H18" s="13"/>
      <c r="I18" s="123"/>
      <c r="J18" s="124"/>
      <c r="K18" s="124"/>
      <c r="L18" s="124"/>
      <c r="M18" s="125"/>
      <c r="N18" s="18"/>
      <c r="O18" s="111"/>
      <c r="P18" s="112"/>
      <c r="Q18" s="112"/>
      <c r="R18" s="112"/>
      <c r="S18" s="113"/>
      <c r="T18" s="13"/>
      <c r="U18" s="117"/>
      <c r="V18" s="118"/>
      <c r="W18" s="118"/>
      <c r="X18" s="118"/>
      <c r="Y18" s="119"/>
      <c r="Z18" s="13"/>
      <c r="AA18" s="14"/>
    </row>
    <row r="19" spans="1:27" ht="34.799999999999997" x14ac:dyDescent="0.3">
      <c r="A19" s="14"/>
      <c r="B19" s="13"/>
      <c r="C19" s="47"/>
      <c r="D19" s="106">
        <f>Calculations!$C$14</f>
        <v>0.83333333333333337</v>
      </c>
      <c r="E19" s="106"/>
      <c r="F19" s="106"/>
      <c r="G19" s="107"/>
      <c r="H19" s="13"/>
      <c r="I19" s="47"/>
      <c r="J19" s="106">
        <f>Calculations!$C$11</f>
        <v>0.74285714285714288</v>
      </c>
      <c r="K19" s="106"/>
      <c r="L19" s="106"/>
      <c r="M19" s="107"/>
      <c r="N19" s="18"/>
      <c r="O19" s="47"/>
      <c r="P19" s="106">
        <f>Calculations!$C$17</f>
        <v>0.84</v>
      </c>
      <c r="Q19" s="106"/>
      <c r="R19" s="106"/>
      <c r="S19" s="107"/>
      <c r="T19" s="13"/>
      <c r="U19" s="47"/>
      <c r="V19" s="106">
        <f>Calculations!$C$20</f>
        <v>-7.130000000000003E-2</v>
      </c>
      <c r="W19" s="106"/>
      <c r="X19" s="106"/>
      <c r="Y19" s="107"/>
      <c r="Z19" s="13"/>
      <c r="AA19" s="14"/>
    </row>
    <row r="20" spans="1:27" ht="15" customHeight="1" x14ac:dyDescent="0.3">
      <c r="A20" s="14"/>
      <c r="B20" s="18"/>
      <c r="C20" s="100" t="s">
        <v>289</v>
      </c>
      <c r="D20" s="101"/>
      <c r="E20" s="101"/>
      <c r="F20" s="101"/>
      <c r="G20" s="102"/>
      <c r="H20" s="13"/>
      <c r="I20" s="100" t="s">
        <v>289</v>
      </c>
      <c r="J20" s="101"/>
      <c r="K20" s="101"/>
      <c r="L20" s="101"/>
      <c r="M20" s="102"/>
      <c r="N20" s="18"/>
      <c r="O20" s="100" t="s">
        <v>289</v>
      </c>
      <c r="P20" s="101"/>
      <c r="Q20" s="101"/>
      <c r="R20" s="101"/>
      <c r="S20" s="102"/>
      <c r="T20" s="13"/>
      <c r="U20" s="100" t="s">
        <v>289</v>
      </c>
      <c r="V20" s="101"/>
      <c r="W20" s="101"/>
      <c r="X20" s="101"/>
      <c r="Y20" s="102"/>
      <c r="Z20" s="13"/>
      <c r="AA20" s="14"/>
    </row>
    <row r="21" spans="1:27" x14ac:dyDescent="0.3">
      <c r="A21" s="14"/>
      <c r="B21" s="18"/>
      <c r="C21" s="103"/>
      <c r="D21" s="104"/>
      <c r="E21" s="104"/>
      <c r="F21" s="104"/>
      <c r="G21" s="105"/>
      <c r="H21" s="13"/>
      <c r="I21" s="103"/>
      <c r="J21" s="104"/>
      <c r="K21" s="104"/>
      <c r="L21" s="104"/>
      <c r="M21" s="105"/>
      <c r="N21" s="13"/>
      <c r="O21" s="103"/>
      <c r="P21" s="104"/>
      <c r="Q21" s="104"/>
      <c r="R21" s="104"/>
      <c r="S21" s="105"/>
      <c r="T21" s="13"/>
      <c r="U21" s="103"/>
      <c r="V21" s="104"/>
      <c r="W21" s="104"/>
      <c r="X21" s="104"/>
      <c r="Y21" s="105"/>
      <c r="Z21" s="13"/>
      <c r="AA21" s="14"/>
    </row>
    <row r="22" spans="1:27" x14ac:dyDescent="0.3">
      <c r="A22" s="14"/>
      <c r="B22" s="5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27" ht="15" customHeight="1" x14ac:dyDescent="0.3">
      <c r="A23" s="14"/>
      <c r="B23" s="1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13"/>
      <c r="O23" s="13"/>
      <c r="P23" s="13"/>
      <c r="Q23" s="13"/>
      <c r="R23" s="13"/>
      <c r="S23" s="13"/>
      <c r="T23" s="13"/>
      <c r="U23" s="13"/>
      <c r="V23" s="13"/>
      <c r="W23" s="18"/>
      <c r="X23" s="13"/>
      <c r="Y23" s="18"/>
      <c r="Z23" s="13"/>
      <c r="AA23" s="14"/>
    </row>
    <row r="24" spans="1:27" ht="15" customHeight="1" x14ac:dyDescent="0.3">
      <c r="A24" s="14"/>
      <c r="B24" s="13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13"/>
      <c r="O24" s="13"/>
      <c r="P24" s="13"/>
      <c r="Q24" s="13"/>
      <c r="R24" s="13"/>
      <c r="S24" s="13"/>
      <c r="T24" s="13"/>
      <c r="U24" s="13"/>
      <c r="V24" s="13"/>
      <c r="W24" s="18"/>
      <c r="X24" s="13"/>
      <c r="Y24" s="18"/>
      <c r="Z24" s="13"/>
      <c r="AA24" s="14"/>
    </row>
    <row r="25" spans="1:27" x14ac:dyDescent="0.3">
      <c r="A25" s="14"/>
      <c r="B25" s="18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8"/>
      <c r="N25" s="28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8"/>
      <c r="Z25" s="13"/>
      <c r="AA25" s="14"/>
    </row>
    <row r="26" spans="1:27" x14ac:dyDescent="0.3">
      <c r="A26" s="14"/>
      <c r="B26" s="18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8"/>
      <c r="N26" s="28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8"/>
      <c r="Z26" s="13"/>
      <c r="AA26" s="14"/>
    </row>
    <row r="27" spans="1:27" x14ac:dyDescent="0.3">
      <c r="A27" s="14"/>
      <c r="B27" s="18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8"/>
      <c r="N27" s="28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8"/>
      <c r="Z27" s="13"/>
      <c r="AA27" s="14"/>
    </row>
    <row r="28" spans="1:27" x14ac:dyDescent="0.3">
      <c r="A28" s="14"/>
      <c r="B28" s="18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8"/>
      <c r="N28" s="28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8"/>
      <c r="Z28" s="13"/>
      <c r="AA28" s="14"/>
    </row>
    <row r="29" spans="1:27" x14ac:dyDescent="0.3">
      <c r="A29" s="14"/>
      <c r="B29" s="18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8"/>
      <c r="N29" s="28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8"/>
      <c r="Z29" s="13"/>
      <c r="AA29" s="14"/>
    </row>
    <row r="30" spans="1:27" x14ac:dyDescent="0.3">
      <c r="A30" s="14"/>
      <c r="B30" s="18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8"/>
      <c r="N30" s="28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8"/>
      <c r="Z30" s="13"/>
      <c r="AA30" s="14"/>
    </row>
    <row r="31" spans="1:27" x14ac:dyDescent="0.3">
      <c r="A31" s="14"/>
      <c r="B31" s="18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8"/>
      <c r="N31" s="28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8"/>
      <c r="Z31" s="13"/>
      <c r="AA31" s="14"/>
    </row>
    <row r="32" spans="1:27" x14ac:dyDescent="0.3">
      <c r="A32" s="14"/>
      <c r="B32" s="18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8"/>
      <c r="N32" s="28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8"/>
      <c r="Z32" s="13"/>
      <c r="AA32" s="14"/>
    </row>
    <row r="33" spans="1:27" x14ac:dyDescent="0.3">
      <c r="A33" s="14"/>
      <c r="B33" s="18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8"/>
      <c r="N33" s="28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8"/>
      <c r="Z33" s="13"/>
      <c r="AA33" s="14"/>
    </row>
    <row r="34" spans="1:27" x14ac:dyDescent="0.3">
      <c r="A34" s="14"/>
      <c r="B34" s="18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8"/>
      <c r="N34" s="28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8"/>
      <c r="Z34" s="13"/>
      <c r="AA34" s="14"/>
    </row>
    <row r="35" spans="1:27" x14ac:dyDescent="0.3">
      <c r="A35" s="14"/>
      <c r="B35" s="18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8"/>
      <c r="N35" s="28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8"/>
      <c r="Z35" s="13"/>
      <c r="AA35" s="14"/>
    </row>
    <row r="36" spans="1:27" x14ac:dyDescent="0.3">
      <c r="A36" s="14"/>
      <c r="B36" s="18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8"/>
      <c r="N36" s="28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8"/>
      <c r="Z36" s="13"/>
      <c r="AA36" s="14"/>
    </row>
    <row r="37" spans="1:27" x14ac:dyDescent="0.3">
      <c r="A37" s="14"/>
      <c r="B37" s="18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8"/>
      <c r="N37" s="28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8"/>
      <c r="Z37" s="13"/>
      <c r="AA37" s="14"/>
    </row>
    <row r="38" spans="1:27" x14ac:dyDescent="0.3">
      <c r="A38" s="14"/>
      <c r="B38" s="18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8"/>
      <c r="N38" s="28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8"/>
      <c r="Z38" s="13"/>
      <c r="AA38" s="14"/>
    </row>
    <row r="39" spans="1:27" x14ac:dyDescent="0.3">
      <c r="A39" s="14"/>
      <c r="B39" s="18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8"/>
      <c r="N39" s="28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8"/>
      <c r="Z39" s="13"/>
      <c r="AA39" s="14"/>
    </row>
    <row r="40" spans="1:27" x14ac:dyDescent="0.3">
      <c r="A40" s="14"/>
      <c r="B40" s="18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8"/>
      <c r="N40" s="28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8"/>
      <c r="Z40" s="13"/>
      <c r="AA40" s="14"/>
    </row>
    <row r="41" spans="1:27" x14ac:dyDescent="0.3">
      <c r="A41" s="14"/>
      <c r="B41" s="18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3"/>
      <c r="N41" s="28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3"/>
      <c r="Z41" s="13"/>
      <c r="AA41" s="14"/>
    </row>
    <row r="42" spans="1:27" x14ac:dyDescent="0.3">
      <c r="A42" s="1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4"/>
    </row>
    <row r="43" spans="1:27" x14ac:dyDescent="0.3">
      <c r="A43" s="1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4"/>
    </row>
    <row r="44" spans="1:27" x14ac:dyDescent="0.3">
      <c r="A44" s="1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4"/>
    </row>
    <row r="45" spans="1:27" x14ac:dyDescent="0.3">
      <c r="A45" s="1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4"/>
    </row>
    <row r="46" spans="1:27" x14ac:dyDescent="0.3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4"/>
    </row>
    <row r="47" spans="1:27" x14ac:dyDescent="0.3">
      <c r="A47" s="1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4"/>
    </row>
    <row r="48" spans="1:27" x14ac:dyDescent="0.3">
      <c r="A48" s="1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4"/>
    </row>
    <row r="49" spans="1:27" ht="15" customHeight="1" x14ac:dyDescent="0.3">
      <c r="A49" s="1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4"/>
    </row>
    <row r="50" spans="1:27" ht="15" customHeight="1" x14ac:dyDescent="0.3">
      <c r="A50" s="1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4"/>
    </row>
    <row r="51" spans="1:27" x14ac:dyDescent="0.3">
      <c r="A51" s="1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4"/>
    </row>
    <row r="52" spans="1:27" x14ac:dyDescent="0.3">
      <c r="A52" s="1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4"/>
    </row>
    <row r="53" spans="1:27" x14ac:dyDescent="0.3">
      <c r="A53" s="1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4"/>
    </row>
    <row r="54" spans="1:27" x14ac:dyDescent="0.3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4"/>
    </row>
    <row r="55" spans="1:27" x14ac:dyDescent="0.3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4"/>
    </row>
    <row r="56" spans="1:27" x14ac:dyDescent="0.3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4"/>
    </row>
    <row r="57" spans="1:27" x14ac:dyDescent="0.3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4"/>
    </row>
    <row r="58" spans="1:27" x14ac:dyDescent="0.3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4"/>
    </row>
    <row r="59" spans="1:27" x14ac:dyDescent="0.3">
      <c r="A59" s="1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4"/>
    </row>
    <row r="60" spans="1:27" x14ac:dyDescent="0.3">
      <c r="A60" s="1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4"/>
    </row>
    <row r="61" spans="1:27" x14ac:dyDescent="0.3">
      <c r="A61" s="1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4"/>
    </row>
    <row r="62" spans="1:27" x14ac:dyDescent="0.3">
      <c r="A62" s="1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4"/>
    </row>
    <row r="63" spans="1:27" x14ac:dyDescent="0.3">
      <c r="A63" s="14"/>
      <c r="B63" s="13"/>
      <c r="C63" s="13"/>
      <c r="D63" s="98" t="str">
        <f>Calculations!$B$36</f>
        <v>As of FYE 2016, the Total Training Hours is 20, participated by 20 employees from different departments with 44.44% Occupancy Rate. Accumulated cost is equal to 9,000.</v>
      </c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13"/>
      <c r="Z63" s="13"/>
      <c r="AA63" s="14"/>
    </row>
    <row r="64" spans="1:27" ht="15" customHeight="1" x14ac:dyDescent="0.3">
      <c r="A64" s="14"/>
      <c r="B64" s="13"/>
      <c r="C64" s="13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13"/>
      <c r="Z64" s="13"/>
      <c r="AA64" s="14"/>
    </row>
    <row r="65" spans="1:27" ht="15" customHeight="1" x14ac:dyDescent="0.3">
      <c r="A65" s="14"/>
      <c r="B65" s="13"/>
      <c r="C65" s="13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13"/>
      <c r="Z65" s="13"/>
      <c r="AA65" s="14"/>
    </row>
    <row r="66" spans="1:27" ht="28.5" customHeight="1" x14ac:dyDescent="0.3">
      <c r="A66" s="14"/>
      <c r="B66" s="13"/>
      <c r="C66" s="13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13"/>
      <c r="Z66" s="13"/>
      <c r="AA66" s="14"/>
    </row>
    <row r="67" spans="1:27" ht="15" customHeight="1" x14ac:dyDescent="0.3">
      <c r="A67" s="14"/>
      <c r="B67" s="13"/>
      <c r="C67" s="13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13"/>
      <c r="Z67" s="13"/>
      <c r="AA67" s="14"/>
    </row>
    <row r="68" spans="1:27" ht="15" customHeight="1" x14ac:dyDescent="0.3">
      <c r="A68" s="14"/>
      <c r="B68" s="13"/>
      <c r="C68" s="13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13"/>
      <c r="Z68" s="13"/>
      <c r="AA68" s="14"/>
    </row>
    <row r="69" spans="1:27" ht="15" customHeight="1" x14ac:dyDescent="0.3">
      <c r="A69" s="14"/>
      <c r="B69" s="13"/>
      <c r="C69" s="13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13"/>
      <c r="Z69" s="13"/>
      <c r="AA69" s="14"/>
    </row>
    <row r="70" spans="1:27" ht="15" customHeight="1" x14ac:dyDescent="0.3">
      <c r="A70" s="14"/>
      <c r="B70" s="13"/>
      <c r="C70" s="13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13"/>
      <c r="Z70" s="13"/>
      <c r="AA70" s="14"/>
    </row>
    <row r="71" spans="1:27" ht="15" customHeight="1" x14ac:dyDescent="0.3">
      <c r="A71" s="14"/>
      <c r="B71" s="13"/>
      <c r="C71" s="13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13"/>
      <c r="Z71" s="13"/>
      <c r="AA71" s="14"/>
    </row>
    <row r="72" spans="1:27" x14ac:dyDescent="0.3">
      <c r="A72" s="14"/>
      <c r="B72" s="13"/>
      <c r="C72" s="13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13"/>
      <c r="Z72" s="13"/>
      <c r="AA72" s="14"/>
    </row>
    <row r="73" spans="1:27" x14ac:dyDescent="0.3">
      <c r="A73" s="1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4"/>
    </row>
    <row r="74" spans="1:27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</sheetData>
  <mergeCells count="20">
    <mergeCell ref="E6:F6"/>
    <mergeCell ref="C6:D6"/>
    <mergeCell ref="U8:Y9"/>
    <mergeCell ref="C8:G9"/>
    <mergeCell ref="I8:M9"/>
    <mergeCell ref="O8:S9"/>
    <mergeCell ref="D63:X72"/>
    <mergeCell ref="AC10:AC15"/>
    <mergeCell ref="C20:G21"/>
    <mergeCell ref="I20:M21"/>
    <mergeCell ref="O20:S21"/>
    <mergeCell ref="U20:Y21"/>
    <mergeCell ref="D19:G19"/>
    <mergeCell ref="J19:M19"/>
    <mergeCell ref="P19:S19"/>
    <mergeCell ref="O10:S18"/>
    <mergeCell ref="U10:Y18"/>
    <mergeCell ref="I10:M18"/>
    <mergeCell ref="C10:G18"/>
    <mergeCell ref="V19:Y19"/>
  </mergeCells>
  <conditionalFormatting sqref="C19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I19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J19">
    <cfRule type="iconSet" priority="6">
      <iconSet iconSet="3Arrows" reverse="1">
        <cfvo type="percent" val="0"/>
        <cfvo type="num" val="0"/>
        <cfvo type="percent" val="67"/>
      </iconSet>
    </cfRule>
  </conditionalFormatting>
  <conditionalFormatting sqref="O19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P19">
    <cfRule type="iconSet" priority="4">
      <iconSet iconSet="3Arrows" reverse="1">
        <cfvo type="percent" val="0"/>
        <cfvo type="num" val="0"/>
        <cfvo type="percent" val="67"/>
      </iconSet>
    </cfRule>
  </conditionalFormatting>
  <conditionalFormatting sqref="U19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V19">
    <cfRule type="iconSet" priority="2">
      <iconSet iconSet="3Arrows" reverse="1">
        <cfvo type="percent" val="0"/>
        <cfvo type="num" val="0"/>
        <cfvo type="percent" val="67"/>
      </iconSet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" id="{00000000-000E-0000-0600-000001000000}">
            <x14:iconSet iconSet="3Arrows" custom="1">
              <x14:cfvo type="percent">
                <xm:f>0</xm:f>
              </x14:cfvo>
              <x14:cfvo type="percentile" gte="0">
                <xm:f>0</xm:f>
              </x14:cfvo>
              <x14:cfvo type="percent">
                <xm:f>1</xm:f>
              </x14:cfvo>
              <x14:cfIcon iconSet="3TrafficLights1" iconId="1"/>
              <x14:cfIcon iconSet="3Arrows" iconId="2"/>
              <x14:cfIcon iconSet="3Arrows" iconId="0"/>
            </x14:iconSet>
          </x14:cfRule>
          <xm:sqref>D19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D56AFE-5F6C-464E-8300-94898894477D}">
          <x14:formula1>
            <xm:f>Reference!C$3:C$4</xm:f>
          </x14:formula1>
          <xm:sqref>E6:F6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Emp_List</vt:lpstr>
      <vt:lpstr>Training_List</vt:lpstr>
      <vt:lpstr>Emp_Training_Tracker</vt:lpstr>
      <vt:lpstr>Reference</vt:lpstr>
      <vt:lpstr>Calculations</vt:lpstr>
      <vt:lpstr>Linked Charts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</dc:creator>
  <cp:lastModifiedBy>Anupam Naskar</cp:lastModifiedBy>
  <dcterms:created xsi:type="dcterms:W3CDTF">2019-10-13T11:58:38Z</dcterms:created>
  <dcterms:modified xsi:type="dcterms:W3CDTF">2026-03-08T12:55:44Z</dcterms:modified>
</cp:coreProperties>
</file>