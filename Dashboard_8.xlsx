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nupa\Downloads\Excel Dashboards For Github\"/>
    </mc:Choice>
  </mc:AlternateContent>
  <xr:revisionPtr revIDLastSave="0" documentId="13_ncr:1_{BCFE3FD1-1ACE-E44B-AF48-232F6200DFBA}" xr6:coauthVersionLast="47" xr6:coauthVersionMax="47" xr10:uidLastSave="{00000000-0000-0000-0000-000000000000}"/>
  <bookViews>
    <workbookView xWindow="-108" yWindow="-108" windowWidth="23256" windowHeight="12456" tabRatio="995" xr2:uid="{5AF5D4AF-D10E-435D-ABA8-B0D0494ED23E}"/>
  </bookViews>
  <sheets>
    <sheet name="Data" sheetId="1" r:id="rId1"/>
    <sheet name="KPI" sheetId="7" r:id="rId2"/>
    <sheet name="Rating" sheetId="9" r:id="rId3"/>
    <sheet name="Employee by Gender" sheetId="10" r:id="rId4"/>
    <sheet name="Education-wise Attrition" sheetId="12" r:id="rId5"/>
    <sheet name="Attrition By Job Role" sheetId="13" r:id="rId6"/>
    <sheet name="Department-wise Attrition" sheetId="14" r:id="rId7"/>
    <sheet name="Attrition By Age-Group" sheetId="15" r:id="rId8"/>
    <sheet name="Attrition By Marriage Status" sheetId="16" r:id="rId9"/>
    <sheet name="Dashboard" sheetId="8" r:id="rId10"/>
    <sheet name="Images" sheetId="2" r:id="rId11"/>
    <sheet name="Background 1" sheetId="3" r:id="rId12"/>
    <sheet name="Background 2" sheetId="4" r:id="rId13"/>
    <sheet name="Background 3" sheetId="5" r:id="rId14"/>
    <sheet name="Background 4" sheetId="6" r:id="rId15"/>
  </sheets>
  <definedNames>
    <definedName name="_xlchart.v1.0" hidden="1">'Attrition By Job Role'!$E$4:$E$12</definedName>
    <definedName name="_xlchart.v1.1" hidden="1">'Attrition By Job Role'!$F$3</definedName>
    <definedName name="_xlchart.v1.2" hidden="1">'Attrition By Job Role'!$F$4:$F$12</definedName>
    <definedName name="_xlchart.v1.7" hidden="1">'Attrition By Job Role'!$E$4:$E$12</definedName>
    <definedName name="_xlchart.v1.8" hidden="1">'Attrition By Job Role'!$F$3</definedName>
    <definedName name="_xlchart.v1.9" hidden="1">'Attrition By Job Role'!$F$4:$F$12</definedName>
    <definedName name="_xlchart.v2.3" hidden="1">'Attrition By Marriage Status'!$D$4:$D$6</definedName>
    <definedName name="_xlchart.v2.4" hidden="1">'Attrition By Marriage Status'!$E$4:$E$6</definedName>
    <definedName name="_xlchart.v2.5" hidden="1">'Attrition By Marriage Status'!$D$4:$D$6</definedName>
    <definedName name="_xlchart.v2.6" hidden="1">'Attrition By Marriage Status'!$E$4:$E$6</definedName>
    <definedName name="Slicer_Department">#N/A</definedName>
    <definedName name="Slicer_Education">#N/A</definedName>
    <definedName name="Slicer_Education_Field2">#N/A</definedName>
    <definedName name="Slicer_Gender2">#N/A</definedName>
    <definedName name="Slicer_Marital_Status">#N/A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6" l="1"/>
  <c r="D6" i="16"/>
  <c r="D4" i="16"/>
  <c r="D5" i="14"/>
  <c r="D6" i="14"/>
  <c r="D4" i="14"/>
  <c r="E5" i="13"/>
  <c r="E6" i="13"/>
  <c r="E7" i="13"/>
  <c r="E8" i="13"/>
  <c r="E9" i="13"/>
  <c r="E10" i="13"/>
  <c r="E11" i="13"/>
  <c r="E12" i="13"/>
  <c r="E4" i="13"/>
  <c r="F9" i="13"/>
  <c r="B7" i="7"/>
  <c r="B12" i="10"/>
  <c r="F8" i="13"/>
  <c r="A7" i="7"/>
  <c r="E6" i="16"/>
  <c r="E4" i="16"/>
  <c r="F4" i="13"/>
  <c r="E5" i="14"/>
  <c r="E4" i="14"/>
  <c r="F12" i="13"/>
  <c r="D7" i="7"/>
  <c r="F7" i="13"/>
  <c r="E5" i="16"/>
  <c r="F6" i="13"/>
  <c r="F5" i="13"/>
  <c r="E6" i="14"/>
  <c r="B11" i="10"/>
  <c r="B6" i="9"/>
  <c r="E7" i="7"/>
  <c r="F11" i="13"/>
  <c r="F10" i="13"/>
  <c r="C7" i="7"/>
  <c r="C11" i="10" l="1"/>
  <c r="C12" i="10"/>
  <c r="C6" i="9"/>
  <c r="B7" i="9"/>
  <c r="C7" i="9" s="1"/>
  <c r="F6" i="14"/>
  <c r="F4" i="14"/>
  <c r="F5" i="14"/>
</calcChain>
</file>

<file path=xl/sharedStrings.xml><?xml version="1.0" encoding="utf-8"?>
<sst xmlns="http://schemas.openxmlformats.org/spreadsheetml/2006/main" count="19219" uniqueCount="1569">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</sst>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cellXfs>
  <cellStyles count="2">
    <cellStyle name="Normal" xfId="0" builtinId="0"/>
    <cellStyle name="Percent" xfId="1" builtinId="5"/>
  </cellStyles>
  <dxfs count="1">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2-8303-364E-BB2E-395230F4C85C}"/>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2-F486-544C-9DC9-6F287EEE2158}"/>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1-F486-544C-9DC9-6F287EEE2158}"/>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2-9261-8742-BEAF-DF5750B7B815}"/>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[HR-Employee-Analysis.xlsx]Education-wise Attrition!Education-wise Attrition</c:name>
    <c:fmtId val="1"/>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EDF3-3E4B-B154-B6EA24DF0CE1}"/>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2-EDF3-3E4B-B154-B6EA24DF0CE1}"/>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3-EDF3-3E4B-B154-B6EA24DF0CE1}"/>
              </c:ext>
            </c:extLst>
          </c:dPt>
          <c:dLbls>
            <c:dLbl>
              <c:idx val="0"/>
              <c:tx>
                <c:rich>
                  <a:bodyPr/>
                  <a:lstStyle/>
                  <a:p>
                    <a:fld id="{19518D4A-808D-4793-A37D-62120600E73A}" type="CELLRANGE">
                      <a:rPr lang="en-IN"/>
                      <a:pPr/>
                      <a:t>[CELLRANGE]</a:t>
                    </a:fld>
                    <a:r>
                      <a:rPr lang="en-IN" baseline="0"/>
                      <a:t>, </a:t>
                    </a:r>
                    <a:fld id="{454A409C-D4A2-4243-B4B3-31C062507FF4}"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DF3-3E4B-B154-B6EA24DF0CE1}"/>
                </c:ext>
              </c:extLst>
            </c:dLbl>
            <c:dLbl>
              <c:idx val="1"/>
              <c:tx>
                <c:rich>
                  <a:bodyPr/>
                  <a:lstStyle/>
                  <a:p>
                    <a:fld id="{E5B6C4AA-D5F5-4BFC-A9A4-3BF32DB4AF4E}" type="CELLRANGE">
                      <a:rPr lang="en-IN"/>
                      <a:pPr/>
                      <a:t>[CELLRANGE]</a:t>
                    </a:fld>
                    <a:r>
                      <a:rPr lang="en-IN" baseline="0"/>
                      <a:t>, </a:t>
                    </a:r>
                    <a:fld id="{B029F4DA-A161-49CF-92CB-F8179DBAC28D}"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DF3-3E4B-B154-B6EA24DF0CE1}"/>
                </c:ext>
              </c:extLst>
            </c:dLbl>
            <c:dLbl>
              <c:idx val="2"/>
              <c:tx>
                <c:rich>
                  <a:bodyPr/>
                  <a:lstStyle/>
                  <a:p>
                    <a:fld id="{FA6204F2-B672-45EC-8733-DD4F2A2D66C3}" type="CELLRANGE">
                      <a:rPr lang="en-IN"/>
                      <a:pPr/>
                      <a:t>[CELLRANGE]</a:t>
                    </a:fld>
                    <a:r>
                      <a:rPr lang="en-IN" baseline="0"/>
                      <a:t>, </a:t>
                    </a:r>
                    <a:fld id="{A2D435EF-7370-450D-A1FF-1D46433AD80B}"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DF3-3E4B-B154-B6EA24DF0CE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0-EDF3-3E4B-B154-B6EA24DF0CE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[HR-Employee-Analysis.xlsx]Attrition By Age-Group!Attrition By Age-Group</c:name>
    <c:fmtId val="2"/>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EF88-D948-9500-993CCCAD96D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F88-D948-9500-993CCCAD96D4}"/>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2050-A140-8018-58D20CE32266}"/>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2050-A140-8018-58D20CE32266}"/>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F445-5747-BFE6-B8866D715152}"/>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F445-5747-BFE6-B8866D715152}"/>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[HR-Employee-Analysis.xlsx]Education-wise Attrition!Education-wise Attrition</c:name>
    <c:fmtId val="3"/>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7B93-CC4A-864B-7C380233025D}"/>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3-7B93-CC4A-864B-7C380233025D}"/>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5-7B93-CC4A-864B-7C380233025D}"/>
              </c:ext>
            </c:extLst>
          </c:dPt>
          <c:dLbls>
            <c:dLbl>
              <c:idx val="0"/>
              <c:tx>
                <c:rich>
                  <a:bodyPr/>
                  <a:lstStyle/>
                  <a:p>
                    <a:fld id="{E2BBA1B3-AAB4-4C59-84B4-41A3CB429AD8}" type="CELLRANGE">
                      <a:rPr lang="en-IN"/>
                      <a:pPr/>
                      <a:t>[CELLRANGE]</a:t>
                    </a:fld>
                    <a:r>
                      <a:rPr lang="en-IN" baseline="0"/>
                      <a:t>, </a:t>
                    </a:r>
                    <a:fld id="{6E90D21E-85B2-444C-81D2-4884AE21C2BC}"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93-CC4A-864B-7C380233025D}"/>
                </c:ext>
              </c:extLst>
            </c:dLbl>
            <c:dLbl>
              <c:idx val="1"/>
              <c:tx>
                <c:rich>
                  <a:bodyPr/>
                  <a:lstStyle/>
                  <a:p>
                    <a:fld id="{52E451C4-4290-4198-8C7C-E1F35DEC009F}" type="CELLRANGE">
                      <a:rPr lang="en-IN"/>
                      <a:pPr/>
                      <a:t>[CELLRANGE]</a:t>
                    </a:fld>
                    <a:r>
                      <a:rPr lang="en-IN" baseline="0"/>
                      <a:t>, </a:t>
                    </a:r>
                    <a:fld id="{EB8F75C4-9CE3-4801-8957-8BB365D83C93}"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B93-CC4A-864B-7C380233025D}"/>
                </c:ext>
              </c:extLst>
            </c:dLbl>
            <c:dLbl>
              <c:idx val="2"/>
              <c:tx>
                <c:rich>
                  <a:bodyPr/>
                  <a:lstStyle/>
                  <a:p>
                    <a:fld id="{CECE2004-1349-44F0-87EC-CA72E0C5C306}" type="CELLRANGE">
                      <a:rPr lang="en-IN"/>
                      <a:pPr/>
                      <a:t>[CELLRANGE]</a:t>
                    </a:fld>
                    <a:r>
                      <a:rPr lang="en-IN" baseline="0"/>
                      <a:t>, </a:t>
                    </a:r>
                    <a:fld id="{A457FB0C-BB9C-407E-AD1D-7A1A04B2B007}"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B93-CC4A-864B-7C380233025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[HR-Employee-Analysis.xlsx]Attrition By Age-Group!Attrition By Age-Group</c:name>
    <c:fmtId val="4"/>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7725989-8B5B-D341-8478-E6A4692692CA}">
          <cx:tx>
            <cx:txData>
              <cx:f>_xlchart.v1.1</cx:f>
              <cx:v>Attrition</cx:v>
            </cx:txData>
          </cx:tx>
          <cx:dataLabels pos="inEnd">
            <cx:visibility seriesName="0" categoryName="1" value="1"/>
          </cx:dataLabels>
          <cx:dataId val="0"/>
          <cx:layoutPr>
            <cx:parentLabelLayout val="banner"/>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327</a:t>
                  </a:r>
                </a:p>
              </cx:txPr>
              <cx:visibility seriesName="0" categoryName="0" value="1"/>
            </cx:dataLabel>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E7725989-8B5B-D341-8478-E6A4692692CA}">
          <cx:tx>
            <cx:txData>
              <cx:f>_xlchart.v1.8</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3.xml"/><Relationship Id="rId4"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10</xdr:col>
      <xdr:colOff>12700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82000" y="812800"/>
              <a:ext cx="24892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0</xdr:colOff>
      <xdr:row>18</xdr:row>
      <xdr:rowOff>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812800</xdr:colOff>
      <xdr:row>4</xdr:row>
      <xdr:rowOff>0</xdr:rowOff>
    </xdr:from>
    <xdr:to>
      <xdr:col>14</xdr:col>
      <xdr:colOff>165100</xdr:colOff>
      <xdr:row>9</xdr:row>
      <xdr:rowOff>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83900" y="812800"/>
              <a:ext cx="1828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0</xdr:rowOff>
    </xdr:from>
    <xdr:to>
      <xdr:col>14</xdr:col>
      <xdr:colOff>177800</xdr:colOff>
      <xdr:row>23</xdr:row>
      <xdr:rowOff>180972</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896600" y="223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25400</xdr:colOff>
      <xdr:row>4</xdr:row>
      <xdr:rowOff>38100</xdr:rowOff>
    </xdr:from>
    <xdr:to>
      <xdr:col>39</xdr:col>
      <xdr:colOff>165100</xdr:colOff>
      <xdr:row>9</xdr:row>
      <xdr:rowOff>63500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477500" y="850900"/>
              <a:ext cx="18288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25400</xdr:colOff>
      <xdr:row>10</xdr:row>
      <xdr:rowOff>12700</xdr:rowOff>
    </xdr:from>
    <xdr:to>
      <xdr:col>39</xdr:col>
      <xdr:colOff>165100</xdr:colOff>
      <xdr:row>22</xdr:row>
      <xdr:rowOff>193672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477500" y="2044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15</xdr:row>
      <xdr:rowOff>0</xdr:rowOff>
    </xdr:from>
    <xdr:to>
      <xdr:col>8</xdr:col>
      <xdr:colOff>19050</xdr:colOff>
      <xdr:row>28</xdr:row>
      <xdr:rowOff>101600</xdr:rowOff>
    </xdr:to>
    <xdr:graphicFrame macro="">
      <xdr:nvGraphicFramePr>
        <xdr:cNvPr id="6" name="Chart 5">
          <a:extLst>
            <a:ext uri="{FF2B5EF4-FFF2-40B4-BE49-F238E27FC236}">
              <a16:creationId xmlns:a16="http://schemas.microsoft.com/office/drawing/2014/main" i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xdr:colOff>
      <xdr:row>15</xdr:row>
      <xdr:rowOff>0</xdr:rowOff>
    </xdr:from>
    <xdr:to>
      <xdr:col>27</xdr:col>
      <xdr:colOff>234950</xdr:colOff>
      <xdr:row>28</xdr:row>
      <xdr:rowOff>101600</xdr:rowOff>
    </xdr:to>
    <xdr:graphicFrame macro="">
      <xdr:nvGraphicFramePr>
        <xdr:cNvPr id="7" name="Chart 6">
          <a:extLst>
            <a:ext uri="{FF2B5EF4-FFF2-40B4-BE49-F238E27FC236}">
              <a16:creationId xmlns:a16="http://schemas.microsoft.com/office/drawing/2014/main"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127000</xdr:colOff>
      <xdr:row>14</xdr:row>
      <xdr:rowOff>12700</xdr:rowOff>
    </xdr:from>
    <xdr:to>
      <xdr:col>11</xdr:col>
      <xdr:colOff>647700</xdr:colOff>
      <xdr:row>33</xdr:row>
      <xdr:rowOff>76200</xdr:rowOff>
    </xdr:to>
    <xdr:graphicFrame macro="">
      <xdr:nvGraphicFramePr>
        <xdr:cNvPr id="3" name="Chart 2">
          <a:extLst>
            <a:ext uri="{FF2B5EF4-FFF2-40B4-BE49-F238E27FC236}">
              <a16:creationId xmlns:a16="http://schemas.microsoft.com/office/drawing/2014/main"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13</xdr:row>
      <xdr:rowOff>152400</xdr:rowOff>
    </xdr:from>
    <xdr:to>
      <xdr:col>1</xdr:col>
      <xdr:colOff>990600</xdr:colOff>
      <xdr:row>26</xdr:row>
      <xdr:rowOff>130172</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6400" y="279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812800</xdr:colOff>
      <xdr:row>14</xdr:row>
      <xdr:rowOff>12700</xdr:rowOff>
    </xdr:from>
    <xdr:to>
      <xdr:col>11</xdr:col>
      <xdr:colOff>736600</xdr:colOff>
      <xdr:row>33</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80640" y="2786380"/>
              <a:ext cx="10309860" cy="3903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431800</xdr:colOff>
      <xdr:row>14</xdr:row>
      <xdr:rowOff>12700</xdr:rowOff>
    </xdr:from>
    <xdr:to>
      <xdr:col>10</xdr:col>
      <xdr:colOff>50800</xdr:colOff>
      <xdr:row>27</xdr:row>
      <xdr:rowOff>114300</xdr:rowOff>
    </xdr:to>
    <xdr:graphicFrame macro="">
      <xdr:nvGraphicFramePr>
        <xdr:cNvPr id="3" name="Chart 2">
          <a:extLst>
            <a:ext uri="{FF2B5EF4-FFF2-40B4-BE49-F238E27FC236}">
              <a16:creationId xmlns:a16="http://schemas.microsoft.com/office/drawing/2014/main" id="{F2A85DDE-26D8-0B60-7AE5-FFB16916F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635000</xdr:colOff>
      <xdr:row>14</xdr:row>
      <xdr:rowOff>12700</xdr:rowOff>
    </xdr:from>
    <xdr:to>
      <xdr:col>9</xdr:col>
      <xdr:colOff>254000</xdr:colOff>
      <xdr:row>27</xdr:row>
      <xdr:rowOff>114300</xdr:rowOff>
    </xdr:to>
    <xdr:graphicFrame macro="">
      <xdr:nvGraphicFramePr>
        <xdr:cNvPr id="4" name="Chart 3">
          <a:extLst>
            <a:ext uri="{FF2B5EF4-FFF2-40B4-BE49-F238E27FC236}">
              <a16:creationId xmlns:a16="http://schemas.microsoft.com/office/drawing/2014/main"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476250</xdr:colOff>
      <xdr:row>14</xdr:row>
      <xdr:rowOff>12700</xdr:rowOff>
    </xdr:from>
    <xdr:to>
      <xdr:col>12</xdr:col>
      <xdr:colOff>95250</xdr:colOff>
      <xdr:row>27</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93230" y="2786380"/>
              <a:ext cx="4739640" cy="2677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774700</xdr:colOff>
      <xdr:row>11</xdr:row>
      <xdr:rowOff>114300</xdr:rowOff>
    </xdr:from>
    <xdr:to>
      <xdr:col>2</xdr:col>
      <xdr:colOff>812800</xdr:colOff>
      <xdr:row>24</xdr:row>
      <xdr:rowOff>92072</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65300" y="2349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241300</xdr:colOff>
      <xdr:row>22</xdr:row>
      <xdr:rowOff>165100</xdr:rowOff>
    </xdr:from>
    <xdr:to>
      <xdr:col>5</xdr:col>
      <xdr:colOff>266700</xdr:colOff>
      <xdr:row>35</xdr:row>
      <xdr:rowOff>142872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8100" y="4635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25</xdr:row>
      <xdr:rowOff>38100</xdr:rowOff>
    </xdr:from>
    <xdr:to>
      <xdr:col>5</xdr:col>
      <xdr:colOff>749300</xdr:colOff>
      <xdr:row>38</xdr:row>
      <xdr:rowOff>15872</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30700" y="5118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495300</xdr:colOff>
      <xdr:row>0</xdr:row>
      <xdr:rowOff>152400</xdr:rowOff>
    </xdr:from>
    <xdr:to>
      <xdr:col>21</xdr:col>
      <xdr:colOff>279400</xdr:colOff>
      <xdr:row>40</xdr:row>
      <xdr:rowOff>196641</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52400"/>
          <a:ext cx="17706340" cy="7969041"/>
          <a:chOff x="1752600" y="190500"/>
          <a:chExt cx="13468350" cy="7776000"/>
        </a:xfrm>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Rectangle: Rounded Corners 5">
            <a:extLst>
              <a:ext uri="{FF2B5EF4-FFF2-40B4-BE49-F238E27FC236}">
                <a16:creationId xmlns:a16="http://schemas.microsoft.com/office/drawing/2014/main" id="{01A44874-D79D-3F11-0991-FAD004A603E6}"/>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33" name="Group 32">
            <a:extLst>
              <a:ext uri="{FF2B5EF4-FFF2-40B4-BE49-F238E27FC236}">
                <a16:creationId xmlns:a16="http://schemas.microsoft.com/office/drawing/2014/main" id="{A93C960D-7693-C4E2-68E0-1364FC5BA9CD}"/>
              </a:ext>
            </a:extLst>
          </xdr:cNvPr>
          <xdr:cNvGrpSpPr/>
        </xdr:nvGrpSpPr>
        <xdr:grpSpPr>
          <a:xfrm>
            <a:off x="1847145" y="5162550"/>
            <a:ext cx="3867930" cy="2709509"/>
            <a:chOff x="1847145" y="2304895"/>
            <a:chExt cx="3867930" cy="2772878"/>
          </a:xfrm>
        </xdr:grpSpPr>
        <xdr:sp macro="" textlink="">
          <xdr:nvSpPr>
            <xdr:cNvPr id="45" name="Rectangle: Rounded Corners 19">
              <a:extLst>
                <a:ext uri="{FF2B5EF4-FFF2-40B4-BE49-F238E27FC236}">
                  <a16:creationId xmlns:a16="http://schemas.microsoft.com/office/drawing/2014/main" id="{8E3F6CB9-C804-4785-F991-29D42B3EE724}"/>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5" name="Rectangle: Rounded Corners 9">
            <a:extLst>
              <a:ext uri="{FF2B5EF4-FFF2-40B4-BE49-F238E27FC236}">
                <a16:creationId xmlns:a16="http://schemas.microsoft.com/office/drawing/2014/main" id="{0137F366-7E7D-7A63-8C3A-8084940584B6}"/>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7" name="Rectangle: Rounded Corners 11">
            <a:extLst>
              <a:ext uri="{FF2B5EF4-FFF2-40B4-BE49-F238E27FC236}">
                <a16:creationId xmlns:a16="http://schemas.microsoft.com/office/drawing/2014/main" id="{D6CA341B-2585-43BA-9BAF-3D3E7DE1EF2A}"/>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Rounded Corners 13">
            <a:extLst>
              <a:ext uri="{FF2B5EF4-FFF2-40B4-BE49-F238E27FC236}">
                <a16:creationId xmlns:a16="http://schemas.microsoft.com/office/drawing/2014/main" id="{37B18D15-F764-F7A8-BE02-71C98D63BA54}"/>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1" name="Rectangle: Rounded Corners 15">
            <a:extLst>
              <a:ext uri="{FF2B5EF4-FFF2-40B4-BE49-F238E27FC236}">
                <a16:creationId xmlns:a16="http://schemas.microsoft.com/office/drawing/2014/main" id="{392AE5B9-9160-C2AB-49B8-173EB82E71AB}"/>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KPI!A7">
      <xdr:nvSpPr>
        <xdr:cNvPr id="53" name="TextBox 52">
          <a:extLst>
            <a:ext uri="{FF2B5EF4-FFF2-40B4-BE49-F238E27FC236}">
              <a16:creationId xmlns:a16="http://schemas.microsoft.com/office/drawing/2014/main" id="{40447C8A-321E-27A1-1E1A-D9E0E692421A}"/>
            </a:ext>
          </a:extLst>
        </xdr:cNvPr>
        <xdr:cNvSpPr txBox="1"/>
      </xdr:nvSpPr>
      <xdr:spPr>
        <a:xfrm>
          <a:off x="622300" y="16256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KPI!B7">
      <xdr:nvSpPr>
        <xdr:cNvPr id="130" name="TextBox 129">
          <a:extLst>
            <a:ext uri="{FF2B5EF4-FFF2-40B4-BE49-F238E27FC236}">
              <a16:creationId xmlns:a16="http://schemas.microsoft.com/office/drawing/2014/main" id="{4DA7B51C-0F85-DC41-B914-5385C0E5DD5C}"/>
            </a:ext>
          </a:extLst>
        </xdr:cNvPr>
        <xdr:cNvSpPr txBox="1"/>
      </xdr:nvSpPr>
      <xdr:spPr>
        <a:xfrm>
          <a:off x="40259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KPI!D7">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KPI!E7">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KPI!C7">
      <xdr:nvSpPr>
        <xdr:cNvPr id="146" name="TextBox 145">
          <a:extLst>
            <a:ext uri="{FF2B5EF4-FFF2-40B4-BE49-F238E27FC236}">
              <a16:creationId xmlns:a16="http://schemas.microsoft.com/office/drawing/2014/main" id="{3915BA3D-EBD7-334B-9F38-A0D0E9BC4A68}"/>
            </a:ext>
          </a:extLst>
        </xdr:cNvPr>
        <xdr:cNvSpPr txBox="1"/>
      </xdr:nvSpPr>
      <xdr:spPr>
        <a:xfrm>
          <a:off x="142367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609600</xdr:colOff>
      <xdr:row>1</xdr:row>
      <xdr:rowOff>25400</xdr:rowOff>
    </xdr:from>
    <xdr:to>
      <xdr:col>12</xdr:col>
      <xdr:colOff>495300</xdr:colOff>
      <xdr:row>5</xdr:row>
      <xdr:rowOff>101600</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609600" y="228600"/>
          <a:ext cx="97917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000">
              <a:latin typeface="Britannic Bold" panose="020B0903060703020204" pitchFamily="34" charset="77"/>
            </a:rPr>
            <a:t>HR ANALYTICS DASHBOARD</a:t>
          </a:r>
        </a:p>
      </xdr:txBody>
    </xdr:sp>
    <xdr:clientData/>
  </xdr:twoCellAnchor>
  <xdr:twoCellAnchor>
    <xdr:from>
      <xdr:col>12</xdr:col>
      <xdr:colOff>635000</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0541000" y="228600"/>
          <a:ext cx="56769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ritannic Bold" panose="020B0903060703020204" pitchFamily="34" charset="77"/>
            </a:rPr>
            <a:t>JOB SATISFACTION RATING</a:t>
          </a:r>
        </a:p>
      </xdr:txBody>
    </xdr:sp>
    <xdr:clientData/>
  </xdr:twoCellAnchor>
  <xdr:twoCellAnchor>
    <xdr:from>
      <xdr:col>19</xdr:col>
      <xdr:colOff>622300</xdr:colOff>
      <xdr:row>1</xdr:row>
      <xdr:rowOff>38100</xdr:rowOff>
    </xdr:from>
    <xdr:to>
      <xdr:col>21</xdr:col>
      <xdr:colOff>152400</xdr:colOff>
      <xdr:row>5</xdr:row>
      <xdr:rowOff>101600</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177800</xdr:colOff>
      <xdr:row>2</xdr:row>
      <xdr:rowOff>101600</xdr:rowOff>
    </xdr:from>
    <xdr:to>
      <xdr:col>20</xdr:col>
      <xdr:colOff>609600</xdr:colOff>
      <xdr:row>4</xdr:row>
      <xdr:rowOff>12700</xdr:rowOff>
    </xdr:to>
    <xdr:sp macro="" textlink="Rating!$B$6">
      <xdr:nvSpPr>
        <xdr:cNvPr id="151" name="TextBox 150">
          <a:extLst>
            <a:ext uri="{FF2B5EF4-FFF2-40B4-BE49-F238E27FC236}">
              <a16:creationId xmlns:a16="http://schemas.microsoft.com/office/drawing/2014/main" id="{3A407F09-6FF1-3F37-0C52-10B668C3B6F1}"/>
            </a:ext>
          </a:extLst>
        </xdr:cNvPr>
        <xdr:cNvSpPr txBox="1"/>
      </xdr:nvSpPr>
      <xdr:spPr>
        <a:xfrm>
          <a:off x="16687800" y="508000"/>
          <a:ext cx="431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762000" y="2400300"/>
          <a:ext cx="4584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Total Employees By Gender</a:t>
          </a:r>
        </a:p>
      </xdr:txBody>
    </xdr:sp>
    <xdr:clientData/>
  </xdr:twoCellAnchor>
  <xdr:twoCellAnchor editAs="oneCell">
    <xdr:from>
      <xdr:col>0</xdr:col>
      <xdr:colOff>762000</xdr:colOff>
      <xdr:row>13</xdr:row>
      <xdr:rowOff>139700</xdr:rowOff>
    </xdr:from>
    <xdr:to>
      <xdr:col>6</xdr:col>
      <xdr:colOff>393700</xdr:colOff>
      <xdr:row>16</xdr:row>
      <xdr:rowOff>165100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62000" y="2781300"/>
              <a:ext cx="4584700" cy="63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5918200" y="2387600"/>
          <a:ext cx="5664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2153900" y="2425700"/>
          <a:ext cx="515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Job Role</a:t>
          </a:r>
        </a:p>
      </xdr:txBody>
    </xdr:sp>
    <xdr:clientData/>
  </xdr:twoCellAnchor>
  <xdr:twoCellAnchor>
    <xdr:from>
      <xdr:col>14</xdr:col>
      <xdr:colOff>292100</xdr:colOff>
      <xdr:row>13</xdr:row>
      <xdr:rowOff>101600</xdr:rowOff>
    </xdr:from>
    <xdr:to>
      <xdr:col>21</xdr:col>
      <xdr:colOff>241300</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40260" y="2677160"/>
              <a:ext cx="5923280" cy="2550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774700" y="5410200"/>
          <a:ext cx="4572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Department</a:t>
          </a:r>
        </a:p>
      </xdr:txBody>
    </xdr:sp>
    <xdr:clientData/>
  </xdr:twoCellAnchor>
  <xdr:twoCellAnchor>
    <xdr:from>
      <xdr:col>0</xdr:col>
      <xdr:colOff>622300</xdr:colOff>
      <xdr:row>28</xdr:row>
      <xdr:rowOff>88900</xdr:rowOff>
    </xdr:from>
    <xdr:to>
      <xdr:col>6</xdr:col>
      <xdr:colOff>584200</xdr:colOff>
      <xdr:row>40</xdr:row>
      <xdr:rowOff>88900</xdr:rowOff>
    </xdr:to>
    <xdr:graphicFrame macro="">
      <xdr:nvGraphicFramePr>
        <xdr:cNvPr id="162" name="Chart 161">
          <a:extLst>
            <a:ext uri="{FF2B5EF4-FFF2-40B4-BE49-F238E27FC236}">
              <a16:creationId xmlns:a16="http://schemas.microsoft.com/office/drawing/2014/main" id="{9081410C-2B1D-6444-814A-D2CD98C22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5905500" y="5384800"/>
          <a:ext cx="3937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685800</xdr:colOff>
      <xdr:row>26</xdr:row>
      <xdr:rowOff>114300</xdr:rowOff>
    </xdr:from>
    <xdr:to>
      <xdr:col>16</xdr:col>
      <xdr:colOff>469900</xdr:colOff>
      <xdr:row>28</xdr:row>
      <xdr:rowOff>127000</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0591800" y="5397500"/>
          <a:ext cx="3086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ritannic Bold" panose="020B0903060703020204" pitchFamily="34" charset="77"/>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634980" y="5648960"/>
              <a:ext cx="3743960" cy="2364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25400</xdr:colOff>
      <xdr:row>34</xdr:row>
      <xdr:rowOff>101600</xdr:rowOff>
    </xdr:from>
    <xdr:to>
      <xdr:col>21</xdr:col>
      <xdr:colOff>165100</xdr:colOff>
      <xdr:row>40</xdr:row>
      <xdr:rowOff>101600</xdr:rowOff>
    </xdr:to>
    <mc:AlternateContent xmlns:mc="http://schemas.openxmlformats.org/markup-compatibility/2006" xmlns:a14="http://schemas.microsoft.com/office/drawing/2010/main">
      <mc:Choice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058900" y="7010400"/>
              <a:ext cx="34417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28</xdr:row>
      <xdr:rowOff>88900</xdr:rowOff>
    </xdr:from>
    <xdr:to>
      <xdr:col>21</xdr:col>
      <xdr:colOff>139700</xdr:colOff>
      <xdr:row>34</xdr:row>
      <xdr:rowOff>25400</xdr:rowOff>
    </xdr:to>
    <mc:AlternateContent xmlns:mc="http://schemas.openxmlformats.org/markup-compatibility/2006" xmlns:a14="http://schemas.microsoft.com/office/drawing/2010/main">
      <mc:Choice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058900" y="5778500"/>
              <a:ext cx="34163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11.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drawings/drawing12.xml><?xml version="1.0" encoding="utf-8"?>
<xdr:wsDr xmlns:xdr="http://schemas.openxmlformats.org/drawingml/2006/spreadsheetDrawing" xmlns:a="http://schemas.openxmlformats.org/drawingml/2006/main">
  <xdr:twoCellAnchor editAs="oneCell">
    <xdr:from>
      <xdr:col>4</xdr:col>
      <xdr:colOff>6889</xdr:colOff>
      <xdr:row>14</xdr:row>
      <xdr:rowOff>131445</xdr:rowOff>
    </xdr:from>
    <xdr:to>
      <xdr:col>4</xdr:col>
      <xdr:colOff>340725</xdr:colOff>
      <xdr:row>16</xdr:row>
      <xdr:rowOff>58792</xdr:rowOff>
    </xdr:to>
    <xdr:pic>
      <xdr:nvPicPr>
        <xdr:cNvPr id="2" name="Picture 1">
          <a:extLst>
            <a:ext uri="{FF2B5EF4-FFF2-40B4-BE49-F238E27FC236}">
              <a16:creationId xmlns:a16="http://schemas.microsoft.com/office/drawing/2014/main" id="{C1349F3F-2DB1-4B05-8285-92234304968D}"/>
            </a:ext>
          </a:extLst>
        </xdr:cNvPr>
        <xdr:cNvPicPr>
          <a:picLocks noChangeAspect="1"/>
        </xdr:cNvPicPr>
      </xdr:nvPicPr>
      <xdr:blipFill>
        <a:blip xmlns:r="http://schemas.openxmlformats.org/officeDocument/2006/relationships" r:embed="rId1"/>
        <a:stretch>
          <a:fillRect/>
        </a:stretch>
      </xdr:blipFill>
      <xdr:spPr>
        <a:xfrm>
          <a:off x="2689129" y="2905125"/>
          <a:ext cx="333836" cy="323587"/>
        </a:xfrm>
        <a:prstGeom prst="rect">
          <a:avLst/>
        </a:prstGeom>
      </xdr:spPr>
    </xdr:pic>
    <xdr:clientData/>
  </xdr:twoCellAnchor>
  <xdr:twoCellAnchor editAs="oneCell">
    <xdr:from>
      <xdr:col>8</xdr:col>
      <xdr:colOff>521336</xdr:colOff>
      <xdr:row>14</xdr:row>
      <xdr:rowOff>70486</xdr:rowOff>
    </xdr:from>
    <xdr:to>
      <xdr:col>9</xdr:col>
      <xdr:colOff>199001</xdr:colOff>
      <xdr:row>15</xdr:row>
      <xdr:rowOff>185768</xdr:rowOff>
    </xdr:to>
    <xdr:pic>
      <xdr:nvPicPr>
        <xdr:cNvPr id="3" name="Picture 2">
          <a:extLst>
            <a:ext uri="{FF2B5EF4-FFF2-40B4-BE49-F238E27FC236}">
              <a16:creationId xmlns:a16="http://schemas.microsoft.com/office/drawing/2014/main" id="{5E6B7E1C-9E55-4C51-BE6C-778F497485A3}"/>
            </a:ext>
          </a:extLst>
        </xdr:cNvPr>
        <xdr:cNvPicPr>
          <a:picLocks noChangeAspect="1"/>
        </xdr:cNvPicPr>
      </xdr:nvPicPr>
      <xdr:blipFill>
        <a:blip xmlns:r="http://schemas.openxmlformats.org/officeDocument/2006/relationships" r:embed="rId2"/>
        <a:stretch>
          <a:fillRect/>
        </a:stretch>
      </xdr:blipFill>
      <xdr:spPr>
        <a:xfrm>
          <a:off x="5885816" y="2844166"/>
          <a:ext cx="348225" cy="313402"/>
        </a:xfrm>
        <a:prstGeom prst="rect">
          <a:avLst/>
        </a:prstGeom>
      </xdr:spPr>
    </xdr:pic>
    <xdr:clientData/>
  </xdr:twoCellAnchor>
  <xdr:twoCellAnchor editAs="oneCell">
    <xdr:from>
      <xdr:col>10</xdr:col>
      <xdr:colOff>443866</xdr:colOff>
      <xdr:row>13</xdr:row>
      <xdr:rowOff>169546</xdr:rowOff>
    </xdr:from>
    <xdr:to>
      <xdr:col>11</xdr:col>
      <xdr:colOff>96545</xdr:colOff>
      <xdr:row>15</xdr:row>
      <xdr:rowOff>96545</xdr:rowOff>
    </xdr:to>
    <xdr:pic>
      <xdr:nvPicPr>
        <xdr:cNvPr id="4" name="Picture 3">
          <a:extLst>
            <a:ext uri="{FF2B5EF4-FFF2-40B4-BE49-F238E27FC236}">
              <a16:creationId xmlns:a16="http://schemas.microsoft.com/office/drawing/2014/main" id="{5B748259-0807-4F36-87BE-C74774DD2292}"/>
            </a:ext>
          </a:extLst>
        </xdr:cNvPr>
        <xdr:cNvPicPr>
          <a:picLocks noChangeAspect="1"/>
        </xdr:cNvPicPr>
      </xdr:nvPicPr>
      <xdr:blipFill>
        <a:blip xmlns:r="http://schemas.openxmlformats.org/officeDocument/2006/relationships" r:embed="rId3"/>
        <a:stretch>
          <a:fillRect/>
        </a:stretch>
      </xdr:blipFill>
      <xdr:spPr>
        <a:xfrm>
          <a:off x="7149466" y="2745106"/>
          <a:ext cx="323239" cy="323239"/>
        </a:xfrm>
        <a:prstGeom prst="rect">
          <a:avLst/>
        </a:prstGeom>
      </xdr:spPr>
    </xdr:pic>
    <xdr:clientData/>
  </xdr:twoCellAnchor>
  <xdr:twoCellAnchor editAs="oneCell">
    <xdr:from>
      <xdr:col>12</xdr:col>
      <xdr:colOff>296887</xdr:colOff>
      <xdr:row>14</xdr:row>
      <xdr:rowOff>142876</xdr:rowOff>
    </xdr:from>
    <xdr:to>
      <xdr:col>12</xdr:col>
      <xdr:colOff>593194</xdr:colOff>
      <xdr:row>16</xdr:row>
      <xdr:rowOff>21778</xdr:rowOff>
    </xdr:to>
    <xdr:pic>
      <xdr:nvPicPr>
        <xdr:cNvPr id="5" name="Picture 4">
          <a:extLst>
            <a:ext uri="{FF2B5EF4-FFF2-40B4-BE49-F238E27FC236}">
              <a16:creationId xmlns:a16="http://schemas.microsoft.com/office/drawing/2014/main" id="{D3CEAD07-F7C6-4969-B819-A106F7F8701B}"/>
            </a:ext>
          </a:extLst>
        </xdr:cNvPr>
        <xdr:cNvPicPr>
          <a:picLocks noChangeAspect="1"/>
        </xdr:cNvPicPr>
      </xdr:nvPicPr>
      <xdr:blipFill>
        <a:blip xmlns:r="http://schemas.openxmlformats.org/officeDocument/2006/relationships" r:embed="rId4"/>
        <a:stretch>
          <a:fillRect/>
        </a:stretch>
      </xdr:blipFill>
      <xdr:spPr>
        <a:xfrm>
          <a:off x="8343607" y="2916556"/>
          <a:ext cx="296307" cy="275142"/>
        </a:xfrm>
        <a:prstGeom prst="rect">
          <a:avLst/>
        </a:prstGeom>
      </xdr:spPr>
    </xdr:pic>
    <xdr:clientData/>
  </xdr:twoCellAnchor>
  <xdr:twoCellAnchor editAs="oneCell">
    <xdr:from>
      <xdr:col>6</xdr:col>
      <xdr:colOff>436246</xdr:colOff>
      <xdr:row>14</xdr:row>
      <xdr:rowOff>85726</xdr:rowOff>
    </xdr:from>
    <xdr:to>
      <xdr:col>7</xdr:col>
      <xdr:colOff>183833</xdr:colOff>
      <xdr:row>16</xdr:row>
      <xdr:rowOff>107633</xdr:rowOff>
    </xdr:to>
    <xdr:pic>
      <xdr:nvPicPr>
        <xdr:cNvPr id="6" name="Picture 5">
          <a:extLst>
            <a:ext uri="{FF2B5EF4-FFF2-40B4-BE49-F238E27FC236}">
              <a16:creationId xmlns:a16="http://schemas.microsoft.com/office/drawing/2014/main" id="{089D9342-1C26-4941-B1AD-48EDF58DAA1D}"/>
            </a:ext>
          </a:extLst>
        </xdr:cNvPr>
        <xdr:cNvPicPr>
          <a:picLocks noChangeAspect="1"/>
        </xdr:cNvPicPr>
      </xdr:nvPicPr>
      <xdr:blipFill>
        <a:blip xmlns:r="http://schemas.openxmlformats.org/officeDocument/2006/relationships" r:embed="rId5"/>
        <a:stretch>
          <a:fillRect/>
        </a:stretch>
      </xdr:blipFill>
      <xdr:spPr>
        <a:xfrm>
          <a:off x="4459606" y="2859406"/>
          <a:ext cx="418147" cy="418147"/>
        </a:xfrm>
        <a:prstGeom prst="rect">
          <a:avLst/>
        </a:prstGeom>
      </xdr:spPr>
    </xdr:pic>
    <xdr:clientData/>
  </xdr:twoCellAnchor>
  <xdr:twoCellAnchor editAs="oneCell">
    <xdr:from>
      <xdr:col>1</xdr:col>
      <xdr:colOff>0</xdr:colOff>
      <xdr:row>10</xdr:row>
      <xdr:rowOff>56540</xdr:rowOff>
    </xdr:from>
    <xdr:to>
      <xdr:col>1</xdr:col>
      <xdr:colOff>542926</xdr:colOff>
      <xdr:row>13</xdr:row>
      <xdr:rowOff>5106</xdr:rowOff>
    </xdr:to>
    <xdr:pic>
      <xdr:nvPicPr>
        <xdr:cNvPr id="7" name="Picture 6">
          <a:extLst>
            <a:ext uri="{FF2B5EF4-FFF2-40B4-BE49-F238E27FC236}">
              <a16:creationId xmlns:a16="http://schemas.microsoft.com/office/drawing/2014/main" id="{ADFFDBFF-5422-403D-9959-9E899CA9D3EF}"/>
            </a:ext>
          </a:extLst>
        </xdr:cNvPr>
        <xdr:cNvPicPr>
          <a:picLocks noChangeAspect="1"/>
        </xdr:cNvPicPr>
      </xdr:nvPicPr>
      <xdr:blipFill>
        <a:blip xmlns:r="http://schemas.openxmlformats.org/officeDocument/2006/relationships" r:embed="rId6"/>
        <a:stretch>
          <a:fillRect/>
        </a:stretch>
      </xdr:blipFill>
      <xdr:spPr>
        <a:xfrm>
          <a:off x="670560" y="2037740"/>
          <a:ext cx="542926" cy="542926"/>
        </a:xfrm>
        <a:prstGeom prst="rect">
          <a:avLst/>
        </a:prstGeom>
      </xdr:spPr>
    </xdr:pic>
    <xdr:clientData/>
  </xdr:twoCellAnchor>
  <xdr:twoCellAnchor editAs="oneCell">
    <xdr:from>
      <xdr:col>5</xdr:col>
      <xdr:colOff>144780</xdr:colOff>
      <xdr:row>8</xdr:row>
      <xdr:rowOff>22860</xdr:rowOff>
    </xdr:from>
    <xdr:to>
      <xdr:col>6</xdr:col>
      <xdr:colOff>130835</xdr:colOff>
      <xdr:row>11</xdr:row>
      <xdr:rowOff>85115</xdr:rowOff>
    </xdr:to>
    <xdr:pic>
      <xdr:nvPicPr>
        <xdr:cNvPr id="8" name="Picture 7">
          <a:extLst>
            <a:ext uri="{FF2B5EF4-FFF2-40B4-BE49-F238E27FC236}">
              <a16:creationId xmlns:a16="http://schemas.microsoft.com/office/drawing/2014/main" id="{FB470ACD-6BBB-4755-B414-E548AB6C553B}"/>
            </a:ext>
          </a:extLst>
        </xdr:cNvPr>
        <xdr:cNvPicPr>
          <a:picLocks noChangeAspect="1"/>
        </xdr:cNvPicPr>
      </xdr:nvPicPr>
      <xdr:blipFill>
        <a:blip xmlns:r="http://schemas.openxmlformats.org/officeDocument/2006/relationships" r:embed="rId7"/>
        <a:stretch>
          <a:fillRect/>
        </a:stretch>
      </xdr:blipFill>
      <xdr:spPr>
        <a:xfrm>
          <a:off x="3497580" y="1607820"/>
          <a:ext cx="656615" cy="65661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44823</xdr:colOff>
      <xdr:row>1</xdr:row>
      <xdr:rowOff>125505</xdr:rowOff>
    </xdr:from>
    <xdr:to>
      <xdr:col>22</xdr:col>
      <xdr:colOff>101973</xdr:colOff>
      <xdr:row>40</xdr:row>
      <xdr:rowOff>174825</xdr:rowOff>
    </xdr:to>
    <xdr:grpSp>
      <xdr:nvGrpSpPr>
        <xdr:cNvPr id="2" name="Group 1">
          <a:extLst>
            <a:ext uri="{FF2B5EF4-FFF2-40B4-BE49-F238E27FC236}">
              <a16:creationId xmlns:a16="http://schemas.microsoft.com/office/drawing/2014/main" id="{8BF90FB9-CC29-4059-8EFD-F1D1A7539155}"/>
            </a:ext>
          </a:extLst>
        </xdr:cNvPr>
        <xdr:cNvGrpSpPr/>
      </xdr:nvGrpSpPr>
      <xdr:grpSpPr>
        <a:xfrm>
          <a:off x="1389529" y="322729"/>
          <a:ext cx="13504209" cy="7741037"/>
          <a:chOff x="1752600" y="190500"/>
          <a:chExt cx="13468350" cy="7776000"/>
        </a:xfrm>
      </xdr:grpSpPr>
      <xdr:sp macro="" textlink="">
        <xdr:nvSpPr>
          <xdr:cNvPr id="3" name="Rectangle: Rounded Corners 2">
            <a:extLst>
              <a:ext uri="{FF2B5EF4-FFF2-40B4-BE49-F238E27FC236}">
                <a16:creationId xmlns:a16="http://schemas.microsoft.com/office/drawing/2014/main" id="{FD749A91-7D62-A3F3-6AFB-74C0D9FD4EAD}"/>
              </a:ext>
            </a:extLst>
          </xdr:cNvPr>
          <xdr:cNvSpPr/>
        </xdr:nvSpPr>
        <xdr:spPr>
          <a:xfrm>
            <a:off x="1752600" y="190500"/>
            <a:ext cx="13468350" cy="7776000"/>
          </a:xfrm>
          <a:prstGeom prst="roundRect">
            <a:avLst>
              <a:gd name="adj" fmla="val 1112"/>
            </a:avLst>
          </a:prstGeom>
          <a:solidFill>
            <a:srgbClr val="002060"/>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9A693270-8884-92A9-204A-4DF0601F4A49}"/>
              </a:ext>
            </a:extLst>
          </xdr:cNvPr>
          <xdr:cNvSpPr/>
        </xdr:nvSpPr>
        <xdr:spPr>
          <a:xfrm>
            <a:off x="1852449" y="270899"/>
            <a:ext cx="769160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3FD751-3D7F-C889-D90E-125AD9A9E49A}"/>
              </a:ext>
            </a:extLst>
          </xdr:cNvPr>
          <xdr:cNvSpPr/>
        </xdr:nvSpPr>
        <xdr:spPr>
          <a:xfrm>
            <a:off x="9658349" y="270899"/>
            <a:ext cx="546735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45F1653E-D6F5-0924-724C-6D2D4F604869}"/>
              </a:ext>
            </a:extLst>
          </xdr:cNvPr>
          <xdr:cNvSpPr/>
        </xdr:nvSpPr>
        <xdr:spPr>
          <a:xfrm>
            <a:off x="5819774" y="2304895"/>
            <a:ext cx="481965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D21BBA3A-24BB-AFE3-920F-B4B6E6B94123}"/>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5286510-D71C-4986-F626-6AD81A3C8893}"/>
                </a:ext>
              </a:extLst>
            </xdr:cNvPr>
            <xdr:cNvSpPr/>
          </xdr:nvSpPr>
          <xdr:spPr>
            <a:xfrm>
              <a:off x="1846116"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C35CE4F5-C072-E636-E441-56E58A6D0140}"/>
                </a:ext>
              </a:extLst>
            </xdr:cNvPr>
            <xdr:cNvSpPr/>
          </xdr:nvSpPr>
          <xdr:spPr>
            <a:xfrm>
              <a:off x="4546454"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1456B280-C922-45D3-CE8D-9A440284637A}"/>
                </a:ext>
              </a:extLst>
            </xdr:cNvPr>
            <xdr:cNvSpPr/>
          </xdr:nvSpPr>
          <xdr:spPr>
            <a:xfrm>
              <a:off x="7246792"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987DFCD0-0CAB-B91D-459A-E26C699734D0}"/>
                </a:ext>
              </a:extLst>
            </xdr:cNvPr>
            <xdr:cNvSpPr/>
          </xdr:nvSpPr>
          <xdr:spPr>
            <a:xfrm>
              <a:off x="9947130"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5D1272B9-0878-F8D3-4199-14F69821207D}"/>
                </a:ext>
              </a:extLst>
            </xdr:cNvPr>
            <xdr:cNvSpPr/>
          </xdr:nvSpPr>
          <xdr:spPr>
            <a:xfrm>
              <a:off x="12647467"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6829A3E7-5D5C-26E4-2AC3-56E3C85EA5F7}"/>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7F6D7417-3EA6-4085-8D22-866AD8716E66}"/>
                </a:ext>
              </a:extLst>
            </xdr:cNvPr>
            <xdr:cNvSpPr/>
          </xdr:nvSpPr>
          <xdr:spPr>
            <a:xfrm>
              <a:off x="1847145" y="2304895"/>
              <a:ext cx="3867930"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9DCE2EC2-0D0E-3341-BDFB-50C7CF47A536}"/>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F172B8AE-F2C7-FC1D-226E-49352A3AD121}"/>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F541BDB6-0F15-AC31-8F68-DDFDE21C5C48}"/>
              </a:ext>
            </a:extLst>
          </xdr:cNvPr>
          <xdr:cNvSpPr/>
        </xdr:nvSpPr>
        <xdr:spPr>
          <a:xfrm>
            <a:off x="10744199" y="2304895"/>
            <a:ext cx="438150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75C26744-B5A9-47AA-0C33-5F9065BA410C}"/>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F6F2A284-3AEA-DA84-62C6-A04F179CE5ED}"/>
              </a:ext>
            </a:extLst>
          </xdr:cNvPr>
          <xdr:cNvSpPr/>
        </xdr:nvSpPr>
        <xdr:spPr>
          <a:xfrm>
            <a:off x="1847145" y="2314575"/>
            <a:ext cx="3867930" cy="275466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9BC194A2-3386-F72B-AE2E-B1235C4F6CDC}"/>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F8DDEA1-47D7-BE5B-E416-82F5A8A98F91}"/>
              </a:ext>
            </a:extLst>
          </xdr:cNvPr>
          <xdr:cNvSpPr/>
        </xdr:nvSpPr>
        <xdr:spPr>
          <a:xfrm>
            <a:off x="5809545" y="5162550"/>
            <a:ext cx="3564000" cy="2709509"/>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31BCC615-83AB-C766-8A6A-214BD22DB6C9}"/>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A5CC493-0171-265A-5145-EFFAD86C7592}"/>
              </a:ext>
            </a:extLst>
          </xdr:cNvPr>
          <xdr:cNvSpPr/>
        </xdr:nvSpPr>
        <xdr:spPr>
          <a:xfrm>
            <a:off x="9467145" y="5162550"/>
            <a:ext cx="2844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E4783F95-06CE-C0C5-3253-9A7B1700022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E108CA-04B7-E740-EA02-1FCC549BBFC1}"/>
              </a:ext>
            </a:extLst>
          </xdr:cNvPr>
          <xdr:cNvSpPr/>
        </xdr:nvSpPr>
        <xdr:spPr>
          <a:xfrm>
            <a:off x="12419895" y="5162550"/>
            <a:ext cx="2700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91B8C24F-B14D-9D93-8E30-677372C2BC08}"/>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286871</xdr:colOff>
      <xdr:row>1</xdr:row>
      <xdr:rowOff>98611</xdr:rowOff>
    </xdr:from>
    <xdr:to>
      <xdr:col>22</xdr:col>
      <xdr:colOff>379880</xdr:colOff>
      <xdr:row>40</xdr:row>
      <xdr:rowOff>112969</xdr:rowOff>
    </xdr:to>
    <xdr:grpSp>
      <xdr:nvGrpSpPr>
        <xdr:cNvPr id="2" name="Group 1">
          <a:extLst>
            <a:ext uri="{FF2B5EF4-FFF2-40B4-BE49-F238E27FC236}">
              <a16:creationId xmlns:a16="http://schemas.microsoft.com/office/drawing/2014/main" id="{71BA81EA-B9D6-43F2-9D97-F24013EBAC89}"/>
            </a:ext>
          </a:extLst>
        </xdr:cNvPr>
        <xdr:cNvGrpSpPr/>
      </xdr:nvGrpSpPr>
      <xdr:grpSpPr>
        <a:xfrm>
          <a:off x="1631577" y="295835"/>
          <a:ext cx="13540068" cy="7706075"/>
          <a:chOff x="1752600" y="190500"/>
          <a:chExt cx="13468350" cy="7776000"/>
        </a:xfrm>
      </xdr:grpSpPr>
      <xdr:sp macro="" textlink="">
        <xdr:nvSpPr>
          <xdr:cNvPr id="3" name="Rectangle: Rounded Corners 2">
            <a:extLst>
              <a:ext uri="{FF2B5EF4-FFF2-40B4-BE49-F238E27FC236}">
                <a16:creationId xmlns:a16="http://schemas.microsoft.com/office/drawing/2014/main" id="{04DF85B3-6EE2-0EF5-D9FD-358010247555}"/>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DBE48065-E889-A041-CEEC-7A4C47D52217}"/>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A5AD21-81F7-F707-F101-A81FF46B1350}"/>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627E1D33-C86F-4A55-F1FD-01DCBF5156D5}"/>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A858214A-1544-7366-ED12-A0F94AC129D9}"/>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1DB0E0E2-EA2D-5D6C-20F1-12E1FD635C4B}"/>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79057486-FEB8-18C4-BC2D-150017182C36}"/>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39CD2DE8-5C91-E5FC-5CB3-BFC8EC4C7F31}"/>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6FD331DA-1F0A-C456-86D4-B645498F08A6}"/>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E4A8257-569A-2C76-9846-AD8F43179748}"/>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D0268B41-06B2-4D41-3261-4B3B080CC5ED}"/>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FEB3A11A-8832-23E9-5209-8C53383ABC5F}"/>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29A2973C-C0D6-8F63-5038-777A7BCA9480}"/>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9CAEA69A-F00E-65BE-E792-4BAAA60DD1C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9F599A18-CE29-5DC7-2203-6CF376D596A9}"/>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8FFF4A86-D885-D872-BC9D-4298EDA2F1F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BD30BF6C-8122-769F-8896-B91E1D8A6D02}"/>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B96EA871-2EC6-8699-AB59-CBC98C601DC9}"/>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829667DB-01B5-899D-70B5-EA46CB06B4DE}"/>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7E71B5DC-FEDD-4659-4E4C-29EA9F74AC9F}"/>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4B25A569-B940-235D-DCC2-B9E13C781CD9}"/>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8E913EC1-5668-DF3F-DD42-51E3FE1DCC0A}"/>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512BDFBE-9089-BB55-9DA8-618067517F5E}"/>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464EEFE9-B1DD-E76E-4F4F-821262D601C0}"/>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394447</xdr:colOff>
      <xdr:row>1</xdr:row>
      <xdr:rowOff>107576</xdr:rowOff>
    </xdr:from>
    <xdr:to>
      <xdr:col>21</xdr:col>
      <xdr:colOff>523315</xdr:colOff>
      <xdr:row>40</xdr:row>
      <xdr:rowOff>87868</xdr:rowOff>
    </xdr:to>
    <xdr:grpSp>
      <xdr:nvGrpSpPr>
        <xdr:cNvPr id="2" name="Group 1">
          <a:extLst>
            <a:ext uri="{FF2B5EF4-FFF2-40B4-BE49-F238E27FC236}">
              <a16:creationId xmlns:a16="http://schemas.microsoft.com/office/drawing/2014/main" id="{7D132E48-34D6-44B0-AE6A-C0377AC131DE}"/>
            </a:ext>
          </a:extLst>
        </xdr:cNvPr>
        <xdr:cNvGrpSpPr/>
      </xdr:nvGrpSpPr>
      <xdr:grpSpPr>
        <a:xfrm>
          <a:off x="1066800" y="304800"/>
          <a:ext cx="13575927" cy="7672009"/>
          <a:chOff x="1752600" y="190500"/>
          <a:chExt cx="13468350" cy="7776000"/>
        </a:xfrm>
      </xdr:grpSpPr>
      <xdr:sp macro="" textlink="">
        <xdr:nvSpPr>
          <xdr:cNvPr id="3" name="Rectangle: Rounded Corners 2">
            <a:extLst>
              <a:ext uri="{FF2B5EF4-FFF2-40B4-BE49-F238E27FC236}">
                <a16:creationId xmlns:a16="http://schemas.microsoft.com/office/drawing/2014/main" id="{AF893D47-E6D0-0B63-47C0-90782F41156F}"/>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D460E3CA-9A58-C0CE-F3DB-F6F55E7D1943}"/>
              </a:ext>
            </a:extLst>
          </xdr:cNvPr>
          <xdr:cNvSpPr/>
        </xdr:nvSpPr>
        <xdr:spPr>
          <a:xfrm>
            <a:off x="1852449" y="270899"/>
            <a:ext cx="7691601" cy="834001"/>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B45172C-B976-0DCE-94FC-60386E4D00B0}"/>
              </a:ext>
            </a:extLst>
          </xdr:cNvPr>
          <xdr:cNvSpPr/>
        </xdr:nvSpPr>
        <xdr:spPr>
          <a:xfrm>
            <a:off x="9658349" y="270899"/>
            <a:ext cx="5467351" cy="834001"/>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77D37347-2164-5BF5-8F35-653B613EA5AD}"/>
              </a:ext>
            </a:extLst>
          </xdr:cNvPr>
          <xdr:cNvSpPr/>
        </xdr:nvSpPr>
        <xdr:spPr>
          <a:xfrm>
            <a:off x="5819774" y="2304895"/>
            <a:ext cx="4819651"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29D12A03-079C-6283-1E94-DBDD42B8AFC0}"/>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D528A7B-9617-AB4E-86E2-8291270F7848}"/>
                </a:ext>
              </a:extLst>
            </xdr:cNvPr>
            <xdr:cNvSpPr/>
          </xdr:nvSpPr>
          <xdr:spPr>
            <a:xfrm>
              <a:off x="1846116"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F46C9C91-71AF-66F3-57CF-5997716BE98C}"/>
                </a:ext>
              </a:extLst>
            </xdr:cNvPr>
            <xdr:cNvSpPr/>
          </xdr:nvSpPr>
          <xdr:spPr>
            <a:xfrm>
              <a:off x="4546454"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9CD901E5-4B60-DBB1-951C-CA52709C2D83}"/>
                </a:ext>
              </a:extLst>
            </xdr:cNvPr>
            <xdr:cNvSpPr/>
          </xdr:nvSpPr>
          <xdr:spPr>
            <a:xfrm>
              <a:off x="7246792"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2E265ADD-3966-3146-5C65-9A23C2032E8D}"/>
                </a:ext>
              </a:extLst>
            </xdr:cNvPr>
            <xdr:cNvSpPr/>
          </xdr:nvSpPr>
          <xdr:spPr>
            <a:xfrm>
              <a:off x="9947130"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A17D5170-8B19-40D5-3E23-C62BA2A71475}"/>
                </a:ext>
              </a:extLst>
            </xdr:cNvPr>
            <xdr:cNvSpPr/>
          </xdr:nvSpPr>
          <xdr:spPr>
            <a:xfrm>
              <a:off x="12647467"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9429E22F-1A3B-1EBA-E25D-9F77E3907984}"/>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6FDD4AB-B97B-CA2A-9738-7BBD87005A23}"/>
                </a:ext>
              </a:extLst>
            </xdr:cNvPr>
            <xdr:cNvSpPr/>
          </xdr:nvSpPr>
          <xdr:spPr>
            <a:xfrm>
              <a:off x="1847145" y="2304895"/>
              <a:ext cx="3867930"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1A72147C-D78E-6917-222D-F2B98A57F1CE}"/>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65E172FE-9064-5388-B78F-8B79D194603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9C31B23F-D72B-DFA1-F232-7056EA5159BF}"/>
              </a:ext>
            </a:extLst>
          </xdr:cNvPr>
          <xdr:cNvSpPr/>
        </xdr:nvSpPr>
        <xdr:spPr>
          <a:xfrm>
            <a:off x="10744199" y="2304895"/>
            <a:ext cx="4381501"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FDE904DF-3DB9-3E6A-B570-D1F1649BE3B6}"/>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3CC074CC-39F7-B9C6-C8DD-079B5A3D545E}"/>
              </a:ext>
            </a:extLst>
          </xdr:cNvPr>
          <xdr:cNvSpPr/>
        </xdr:nvSpPr>
        <xdr:spPr>
          <a:xfrm>
            <a:off x="1847145" y="2314575"/>
            <a:ext cx="3867930" cy="275466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E99657E2-B82E-75AC-7007-82153D912B0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5DC91AF2-0BE9-7149-1C95-B1C44BB21CD6}"/>
              </a:ext>
            </a:extLst>
          </xdr:cNvPr>
          <xdr:cNvSpPr/>
        </xdr:nvSpPr>
        <xdr:spPr>
          <a:xfrm>
            <a:off x="5809545" y="5162550"/>
            <a:ext cx="3564000" cy="2709509"/>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1E136DAE-284C-917E-5C26-883F925F64F7}"/>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D3E222C9-61AA-5722-1EA2-D075920B6BDE}"/>
              </a:ext>
            </a:extLst>
          </xdr:cNvPr>
          <xdr:cNvSpPr/>
        </xdr:nvSpPr>
        <xdr:spPr>
          <a:xfrm>
            <a:off x="9467145" y="5162550"/>
            <a:ext cx="2844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7DABA284-304A-CD4C-AE01-43EB707A1D37}"/>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387B9CE3-A3F8-0C1A-7BBD-37769B04EB6A}"/>
              </a:ext>
            </a:extLst>
          </xdr:cNvPr>
          <xdr:cNvSpPr/>
        </xdr:nvSpPr>
        <xdr:spPr>
          <a:xfrm>
            <a:off x="12419895" y="5162550"/>
            <a:ext cx="2700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14557E6F-96B5-5BD4-49B1-FD3CE21B2E3D}"/>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430306</xdr:colOff>
      <xdr:row>2</xdr:row>
      <xdr:rowOff>134472</xdr:rowOff>
    </xdr:from>
    <xdr:to>
      <xdr:col>21</xdr:col>
      <xdr:colOff>595033</xdr:colOff>
      <xdr:row>41</xdr:row>
      <xdr:rowOff>80697</xdr:rowOff>
    </xdr:to>
    <xdr:grpSp>
      <xdr:nvGrpSpPr>
        <xdr:cNvPr id="2" name="Group 1">
          <a:extLst>
            <a:ext uri="{FF2B5EF4-FFF2-40B4-BE49-F238E27FC236}">
              <a16:creationId xmlns:a16="http://schemas.microsoft.com/office/drawing/2014/main" id="{345AA7B4-5882-484E-B64B-5AD886548252}"/>
            </a:ext>
          </a:extLst>
        </xdr:cNvPr>
        <xdr:cNvGrpSpPr/>
      </xdr:nvGrpSpPr>
      <xdr:grpSpPr>
        <a:xfrm>
          <a:off x="1102659" y="528919"/>
          <a:ext cx="13611786" cy="7637943"/>
          <a:chOff x="1752600" y="190500"/>
          <a:chExt cx="13468350" cy="7776000"/>
        </a:xfrm>
      </xdr:grpSpPr>
      <xdr:sp macro="" textlink="">
        <xdr:nvSpPr>
          <xdr:cNvPr id="3" name="Rectangle: Rounded Corners 2">
            <a:extLst>
              <a:ext uri="{FF2B5EF4-FFF2-40B4-BE49-F238E27FC236}">
                <a16:creationId xmlns:a16="http://schemas.microsoft.com/office/drawing/2014/main" id="{5F066C00-75C8-FC81-B6D4-D24ADCB99159}"/>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58A372FA-7C57-D311-B8FB-00A548F62BBD}"/>
              </a:ext>
            </a:extLst>
          </xdr:cNvPr>
          <xdr:cNvSpPr/>
        </xdr:nvSpPr>
        <xdr:spPr>
          <a:xfrm>
            <a:off x="1852449" y="270899"/>
            <a:ext cx="769160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A00BAF2D-696D-EA76-B2B3-D3D1B7196CB0}"/>
              </a:ext>
            </a:extLst>
          </xdr:cNvPr>
          <xdr:cNvSpPr/>
        </xdr:nvSpPr>
        <xdr:spPr>
          <a:xfrm>
            <a:off x="9658349" y="270899"/>
            <a:ext cx="546735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D20EA581-AADC-86E0-5D2C-529A1A52B5E3}"/>
              </a:ext>
            </a:extLst>
          </xdr:cNvPr>
          <xdr:cNvSpPr/>
        </xdr:nvSpPr>
        <xdr:spPr>
          <a:xfrm>
            <a:off x="5819774" y="2304895"/>
            <a:ext cx="481965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7D63FB06-9E89-CA9F-5E6C-068757E8EB6E}"/>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E6FA0431-7B62-EF33-DB76-AB71BA3DD15F}"/>
                </a:ext>
              </a:extLst>
            </xdr:cNvPr>
            <xdr:cNvSpPr/>
          </xdr:nvSpPr>
          <xdr:spPr>
            <a:xfrm>
              <a:off x="1846116"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ED064606-68B3-8694-0F87-BE469D60179C}"/>
                </a:ext>
              </a:extLst>
            </xdr:cNvPr>
            <xdr:cNvSpPr/>
          </xdr:nvSpPr>
          <xdr:spPr>
            <a:xfrm>
              <a:off x="4546454"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CDE12583-E3B3-80C9-43DE-EA31391ED18E}"/>
                </a:ext>
              </a:extLst>
            </xdr:cNvPr>
            <xdr:cNvSpPr/>
          </xdr:nvSpPr>
          <xdr:spPr>
            <a:xfrm>
              <a:off x="7246792"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E09C4E17-FF58-9C3D-0C55-4158F09B3349}"/>
                </a:ext>
              </a:extLst>
            </xdr:cNvPr>
            <xdr:cNvSpPr/>
          </xdr:nvSpPr>
          <xdr:spPr>
            <a:xfrm>
              <a:off x="9947130"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343BA08-4352-A9F3-718A-BDF6CA894731}"/>
                </a:ext>
              </a:extLst>
            </xdr:cNvPr>
            <xdr:cNvSpPr/>
          </xdr:nvSpPr>
          <xdr:spPr>
            <a:xfrm>
              <a:off x="12647467"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A3C7E1E9-312F-DAF7-9F41-B9772E8E0886}"/>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5EE2B4A-52AE-335B-C9EE-F905C379FF8A}"/>
                </a:ext>
              </a:extLst>
            </xdr:cNvPr>
            <xdr:cNvSpPr/>
          </xdr:nvSpPr>
          <xdr:spPr>
            <a:xfrm>
              <a:off x="1847145" y="2304895"/>
              <a:ext cx="3867930"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7BF291B0-B9C2-460A-88FC-8011425703F9}"/>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494DD3D5-EAA4-3FB9-9B0D-B3407AB79EC0}"/>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D260FD59-050F-1E66-3A87-2130DE0A9EAD}"/>
              </a:ext>
            </a:extLst>
          </xdr:cNvPr>
          <xdr:cNvSpPr/>
        </xdr:nvSpPr>
        <xdr:spPr>
          <a:xfrm>
            <a:off x="10744199" y="2304895"/>
            <a:ext cx="438150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59418708-2A6A-B509-6C7B-082C7900AE7F}"/>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7087576F-0094-4F1F-981E-42140DAFEB01}"/>
              </a:ext>
            </a:extLst>
          </xdr:cNvPr>
          <xdr:cNvSpPr/>
        </xdr:nvSpPr>
        <xdr:spPr>
          <a:xfrm>
            <a:off x="1847145" y="2314575"/>
            <a:ext cx="3867930" cy="275466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FD537083-C628-04AB-14AD-1C8D4D0E7898}"/>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C5EE083-E722-0266-5BED-D1EDAA9E5EB5}"/>
              </a:ext>
            </a:extLst>
          </xdr:cNvPr>
          <xdr:cNvSpPr/>
        </xdr:nvSpPr>
        <xdr:spPr>
          <a:xfrm>
            <a:off x="5809545" y="5162550"/>
            <a:ext cx="3564000" cy="2709509"/>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495CB7AD-5090-0F1F-0503-504ED4E74FAC}"/>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0DC053C-0A24-65DB-8D52-D900AC79C336}"/>
              </a:ext>
            </a:extLst>
          </xdr:cNvPr>
          <xdr:cNvSpPr/>
        </xdr:nvSpPr>
        <xdr:spPr>
          <a:xfrm>
            <a:off x="9467145" y="5162550"/>
            <a:ext cx="2844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9C44E314-72EE-0D54-1D55-FAE94EDE5D3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98EF69-0F0F-B7B1-FEA4-4ECBE79CAC4E}"/>
              </a:ext>
            </a:extLst>
          </xdr:cNvPr>
          <xdr:cNvSpPr/>
        </xdr:nvSpPr>
        <xdr:spPr>
          <a:xfrm>
            <a:off x="12419895" y="5162550"/>
            <a:ext cx="2700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09CCBB15-40E8-85CB-A5C5-CE5F2ED49AB9}"/>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7.727617476849" createdVersion="8" refreshedVersion="8" minRefreshableVersion="3" recordCount="1470" xr:uid="{C13B1C94-179E-C34C-AAFB-5E95AAAD35F3}">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DA992-5FCE-214C-A0D9-A9164BA94FD3}" name="Education-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E10F38-9E0E-224B-ADE1-7CCD16660319}" name="Department-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7CA10-E29A-CF47-A46B-B12D56D6D53D}" name="Attrition By Age-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pivotTables>
    <pivotTable tabId="10" name="Employee by Gender"/>
    <pivotTable tabId="15" name="Attrition By Age-Group"/>
    <pivotTable tabId="13" name="Attrition By Job Role"/>
    <pivotTable tabId="16" name="Attrition By Marriage Status"/>
    <pivotTable tabId="14" name="Department-wise Attrition"/>
    <pivotTable tabId="12" name="Education-wise Attrition"/>
    <pivotTable tabId="7" name="KPI"/>
    <pivotTable tabId="9" name="Rating"/>
  </pivotTables>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EFB230-4892-E648-9525-5500141971D3}" sourceName="Education">
  <pivotTables>
    <pivotTable tabId="12" name="Education-wise Attrition"/>
  </pivotTables>
  <data>
    <tabular pivotCacheId="1538952553">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618E30-7BD6-D442-B07D-462FC4E7E95C}" sourceName="Department">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C3F18DD-573E-684D-ABFD-862FCF4C2B44}" sourceName="Education Field">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EFE6EB-0D0A-7F49-9C42-7A61091680C6}" cache="Slicer_Gender2" caption="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2" caption="Gender" rowHeight="251883"/>
  <slicer name="Education Field" xr10:uid="{A16B6899-6D0D-D244-A4F2-BA5BCA2ABD57}" cache="Slicer_Education_Field2" caption="Education Field"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2" caption="Gender" rowHeight="251883"/>
  <slicer name="Education Field 1" xr10:uid="{9E536ABD-FFC3-4248-BE70-70BBAFBF2647}" cache="Slicer_Education_Field2"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BE90AB0-EBB8-234E-B8CF-2737C4203C3D}" cache="Slicer_Education" caption="Education"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Department" xr10:uid="{0C04C096-2994-5147-B9BA-91385FADF1DB}" cache="Slicer_Department" caption="Department" rowHeight="251883"/>
  <slicer name="Education Field 2" xr10:uid="{39A6E8F2-6B3A-DB4E-924E-FDE2CD6C58CD}" cache="Slicer_Education_Field2" caption="Education Field"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2" caption="Gender" columnCount="2" rowHeight="251883"/>
  <slicer name="Department 1" xr10:uid="{4A847CF6-F13A-7443-BC6C-EE8307477491}" cache="Slicer_Department" caption="Department" rowHeight="251883"/>
  <slicer name="Education Field 3" xr10:uid="{950209E2-E17A-E04D-AF21-243C76BB033B}" cache="Slicer_Education_Field2" caption="Education Field"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E3:F12" totalsRowShown="0">
  <autoFilter ref="E3:F12" xr:uid="{DB913288-E1E9-B44E-B9D3-0EE27F1D378C}"/>
  <tableColumns count="2">
    <tableColumn id="1" xr3:uid="{DE4E3D5A-2D3E-6A4A-89C5-C3FB2CD093CA}" name="Job Role">
      <calculatedColumnFormula>A4</calculatedColumnFormula>
    </tableColumn>
    <tableColumn id="2" xr3:uid="{FFF2B2AB-0183-C346-8914-E5252DE28E8E}" name="Attr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tabSelected="1" workbookViewId="0">
      <pane ySplit="1" topLeftCell="A2" activePane="bottomLeft" state="frozen"/>
      <selection pane="bottomLeft"/>
    </sheetView>
  </sheetViews>
  <sheetFormatPr defaultColWidth="8.796875" defaultRowHeight="15.6" x14ac:dyDescent="0.3"/>
  <cols>
    <col min="1" max="1" width="10.5" bestFit="1" customWidth="1"/>
    <col min="2" max="2" width="16.5" bestFit="1" customWidth="1"/>
    <col min="3" max="3" width="14.19921875" bestFit="1" customWidth="1"/>
    <col min="4" max="4" width="17.796875" bestFit="1" customWidth="1"/>
    <col min="5" max="5" width="13.69921875" bestFit="1" customWidth="1"/>
    <col min="6" max="6" width="16.19921875" bestFit="1" customWidth="1"/>
    <col min="7" max="7" width="11" bestFit="1" customWidth="1"/>
    <col min="8" max="8" width="19.19921875" bestFit="1" customWidth="1"/>
    <col min="9" max="9" width="9.69921875" bestFit="1" customWidth="1"/>
    <col min="10" max="10" width="23.19921875" bestFit="1" customWidth="1"/>
    <col min="11" max="11" width="15.296875" bestFit="1" customWidth="1"/>
    <col min="12" max="12" width="12.296875" bestFit="1" customWidth="1"/>
    <col min="13" max="13" width="9.69921875" bestFit="1" customWidth="1"/>
    <col min="14" max="14" width="24.19921875" bestFit="1" customWidth="1"/>
    <col min="15" max="15" width="5.296875" bestFit="1" customWidth="1"/>
    <col min="16" max="16" width="4.69921875" bestFit="1" customWidth="1"/>
    <col min="17" max="17" width="6.796875" bestFit="1" customWidth="1"/>
    <col min="18" max="18" width="18.296875" bestFit="1" customWidth="1"/>
    <col min="19" max="19" width="19.296875" bestFit="1" customWidth="1"/>
    <col min="20" max="20" width="17.19921875" bestFit="1" customWidth="1"/>
    <col min="21" max="21" width="21.296875" bestFit="1" customWidth="1"/>
    <col min="22" max="22" width="12.296875" bestFit="1" customWidth="1"/>
    <col min="23" max="23" width="21.296875" bestFit="1" customWidth="1"/>
    <col min="24" max="24" width="16.296875" bestFit="1" customWidth="1"/>
    <col min="25" max="25" width="17" bestFit="1" customWidth="1"/>
    <col min="26" max="26" width="24.69921875" bestFit="1" customWidth="1"/>
    <col min="27" max="27" width="13.5" bestFit="1" customWidth="1"/>
    <col min="28" max="28" width="17.19921875" bestFit="1" customWidth="1"/>
    <col min="29" max="29" width="11.19921875" bestFit="1" customWidth="1"/>
    <col min="30" max="30" width="16.5" bestFit="1" customWidth="1"/>
    <col min="31" max="31" width="17" bestFit="1" customWidth="1"/>
    <col min="32" max="32" width="14.796875" bestFit="1" customWidth="1"/>
    <col min="33" max="33" width="24.5" bestFit="1" customWidth="1"/>
    <col min="34" max="34" width="20" bestFit="1" customWidth="1"/>
    <col min="35" max="35" width="20.19921875" bestFit="1" customWidth="1"/>
    <col min="36" max="36" width="24.296875" bestFit="1" customWidth="1"/>
    <col min="37" max="37" width="16.296875" bestFit="1" customWidth="1"/>
    <col min="38" max="38" width="19.19921875" bestFit="1" customWidth="1"/>
    <col min="39" max="39" width="20.5" bestFit="1" customWidth="1"/>
    <col min="40" max="41" width="18.796875" bestFit="1" customWidth="1"/>
    <col min="42" max="42" width="21" bestFit="1" customWidth="1"/>
    <col min="43" max="43" width="26.19921875" bestFit="1" customWidth="1"/>
    <col min="44" max="44" width="24.6992187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E7"/>
  <sheetViews>
    <sheetView workbookViewId="0">
      <selection activeCell="H16" sqref="H16"/>
    </sheetView>
  </sheetViews>
  <sheetFormatPr defaultColWidth="11.19921875" defaultRowHeight="15.6" x14ac:dyDescent="0.3"/>
  <cols>
    <col min="1" max="1" width="24.19921875" bestFit="1" customWidth="1"/>
    <col min="2" max="2" width="22.5" bestFit="1" customWidth="1"/>
    <col min="3" max="3" width="13.796875" bestFit="1" customWidth="1"/>
    <col min="4" max="4" width="15.5" bestFit="1" customWidth="1"/>
    <col min="5" max="5" width="12.296875" bestFit="1" customWidth="1"/>
  </cols>
  <sheetData>
    <row r="3" spans="1:5" x14ac:dyDescent="0.3">
      <c r="A3" t="s">
        <v>1554</v>
      </c>
      <c r="B3" t="s">
        <v>1555</v>
      </c>
      <c r="C3" t="s">
        <v>1556</v>
      </c>
    </row>
    <row r="4" spans="1:5" x14ac:dyDescent="0.3">
      <c r="A4">
        <v>1470</v>
      </c>
      <c r="B4">
        <v>237</v>
      </c>
      <c r="C4">
        <v>36.923809523809524</v>
      </c>
    </row>
    <row r="6" spans="1:5" x14ac:dyDescent="0.3">
      <c r="A6" s="1" t="s">
        <v>1557</v>
      </c>
      <c r="B6" s="1" t="s">
        <v>1558</v>
      </c>
      <c r="C6" s="1" t="s">
        <v>1559</v>
      </c>
      <c r="D6" s="1" t="s">
        <v>1560</v>
      </c>
      <c r="E6" s="1" t="s">
        <v>1561</v>
      </c>
    </row>
    <row r="7" spans="1:5" x14ac:dyDescent="0.3">
      <c r="A7">
        <f>GETPIVOTDATA("Count of Employee Number",$A$3)</f>
        <v>1470</v>
      </c>
      <c r="B7">
        <f>GETPIVOTDATA("Sum of CF_attrition count",$A$3)</f>
        <v>237</v>
      </c>
      <c r="C7" s="4">
        <f>GETPIVOTDATA("Average of Age",$A$3)</f>
        <v>36.923809523809524</v>
      </c>
      <c r="D7">
        <f>GETPIVOTDATA("Count of Employee Number",$A$3)-GETPIVOTDATA("Sum of CF_attrition count",$A$3)</f>
        <v>1233</v>
      </c>
      <c r="E7" s="3">
        <f>GETPIVOTDATA("Sum of CF_attrition count",$A$3)/GETPIVOTDATA("Count of Employee Number",$A$3)</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dimension ref="A3:C7"/>
  <sheetViews>
    <sheetView workbookViewId="0">
      <selection activeCell="C7" sqref="C7"/>
    </sheetView>
  </sheetViews>
  <sheetFormatPr defaultColWidth="11.19921875" defaultRowHeight="15.6" x14ac:dyDescent="0.3"/>
  <cols>
    <col min="1" max="1" width="23.796875" bestFit="1" customWidth="1"/>
  </cols>
  <sheetData>
    <row r="3" spans="1:3" x14ac:dyDescent="0.3">
      <c r="A3" t="s">
        <v>1562</v>
      </c>
    </row>
    <row r="4" spans="1:3" x14ac:dyDescent="0.3">
      <c r="A4" s="4">
        <v>2.6265306122448981</v>
      </c>
    </row>
    <row r="6" spans="1:3" x14ac:dyDescent="0.3">
      <c r="A6" t="s">
        <v>1563</v>
      </c>
      <c r="B6" s="4">
        <f>GETPIVOTDATA("Job Satisfaction",$A$3)</f>
        <v>2.6265306122448981</v>
      </c>
      <c r="C6" s="3">
        <f>B6/4</f>
        <v>0.65663265306122454</v>
      </c>
    </row>
    <row r="7" spans="1:3" x14ac:dyDescent="0.3">
      <c r="A7" s="4" t="s">
        <v>1564</v>
      </c>
      <c r="B7" s="4">
        <f>4-B6</f>
        <v>1.3734693877551019</v>
      </c>
      <c r="C7" s="3">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dimension ref="A3:C17"/>
  <sheetViews>
    <sheetView zoomScaleNormal="100" workbookViewId="0">
      <selection activeCell="AL33" sqref="AL33"/>
    </sheetView>
  </sheetViews>
  <sheetFormatPr defaultColWidth="11.19921875" defaultRowHeight="15.6" x14ac:dyDescent="0.3"/>
  <cols>
    <col min="1" max="1" width="13" bestFit="1" customWidth="1"/>
    <col min="2" max="2" width="24.19921875" bestFit="1" customWidth="1"/>
    <col min="3" max="3" width="12.19921875" bestFit="1" customWidth="1"/>
    <col min="4" max="7" width="2.19921875" bestFit="1" customWidth="1"/>
    <col min="8" max="77" width="3.19921875" bestFit="1" customWidth="1"/>
    <col min="78" max="718" width="4.19921875" bestFit="1" customWidth="1"/>
    <col min="719" max="1471" width="5.19921875" bestFit="1" customWidth="1"/>
  </cols>
  <sheetData>
    <row r="3" spans="1:3" x14ac:dyDescent="0.3">
      <c r="A3" s="6" t="s">
        <v>1565</v>
      </c>
      <c r="B3" t="s">
        <v>1554</v>
      </c>
    </row>
    <row r="4" spans="1:3" x14ac:dyDescent="0.3">
      <c r="A4" s="7" t="s">
        <v>51</v>
      </c>
      <c r="B4">
        <v>588</v>
      </c>
    </row>
    <row r="5" spans="1:3" x14ac:dyDescent="0.3">
      <c r="A5" s="7" t="s">
        <v>62</v>
      </c>
      <c r="B5">
        <v>882</v>
      </c>
    </row>
    <row r="6" spans="1:3" x14ac:dyDescent="0.3">
      <c r="A6" s="7" t="s">
        <v>1566</v>
      </c>
      <c r="B6">
        <v>1470</v>
      </c>
    </row>
    <row r="11" spans="1:3" x14ac:dyDescent="0.3">
      <c r="A11" t="s">
        <v>51</v>
      </c>
      <c r="B11">
        <f>IFERROR(GETPIVOTDATA("Employee Number",$A$3,"Gender","Female"),0)</f>
        <v>588</v>
      </c>
      <c r="C11" s="2">
        <f>IFERROR(B11/($B$11+$B$12),0)</f>
        <v>0.4</v>
      </c>
    </row>
    <row r="12" spans="1:3" x14ac:dyDescent="0.3">
      <c r="A12" t="s">
        <v>62</v>
      </c>
      <c r="B12">
        <f>IFERROR(GETPIVOTDATA("Employee Number",$A$3,"Gender","Male"),0)</f>
        <v>882</v>
      </c>
      <c r="C12" s="2">
        <f>IFERROR(B12/($B$11+$B$12),0)</f>
        <v>0.6</v>
      </c>
    </row>
    <row r="13" spans="1:3" x14ac:dyDescent="0.3">
      <c r="C13" s="3"/>
    </row>
    <row r="16" spans="1:3" x14ac:dyDescent="0.3">
      <c r="C16" s="3"/>
    </row>
    <row r="17" spans="3:3" x14ac:dyDescent="0.3">
      <c r="C17"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dimension ref="A3:B9"/>
  <sheetViews>
    <sheetView topLeftCell="C1" workbookViewId="0">
      <selection activeCell="N32" sqref="N32"/>
    </sheetView>
  </sheetViews>
  <sheetFormatPr defaultColWidth="11.19921875" defaultRowHeight="15.6" x14ac:dyDescent="0.3"/>
  <cols>
    <col min="1" max="1" width="16.296875" bestFit="1" customWidth="1"/>
    <col min="2" max="3" width="22.5" bestFit="1" customWidth="1"/>
  </cols>
  <sheetData>
    <row r="3" spans="1:2" x14ac:dyDescent="0.3">
      <c r="A3" s="6" t="s">
        <v>1565</v>
      </c>
      <c r="B3" t="s">
        <v>1555</v>
      </c>
    </row>
    <row r="4" spans="1:2" x14ac:dyDescent="0.3">
      <c r="A4" s="7" t="s">
        <v>134</v>
      </c>
      <c r="B4">
        <v>5</v>
      </c>
    </row>
    <row r="5" spans="1:2" x14ac:dyDescent="0.3">
      <c r="A5" s="7" t="s">
        <v>65</v>
      </c>
      <c r="B5">
        <v>31</v>
      </c>
    </row>
    <row r="6" spans="1:2" x14ac:dyDescent="0.3">
      <c r="A6" s="7" t="s">
        <v>55</v>
      </c>
      <c r="B6">
        <v>44</v>
      </c>
    </row>
    <row r="7" spans="1:2" x14ac:dyDescent="0.3">
      <c r="A7" s="7" t="s">
        <v>71</v>
      </c>
      <c r="B7">
        <v>58</v>
      </c>
    </row>
    <row r="8" spans="1:2" x14ac:dyDescent="0.3">
      <c r="A8" s="7" t="s">
        <v>77</v>
      </c>
      <c r="B8">
        <v>99</v>
      </c>
    </row>
    <row r="9" spans="1:2" x14ac:dyDescent="0.3">
      <c r="A9" s="7" t="s">
        <v>1566</v>
      </c>
      <c r="B9">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dimension ref="A3:F13"/>
  <sheetViews>
    <sheetView workbookViewId="0">
      <selection activeCell="B4" sqref="B4"/>
    </sheetView>
  </sheetViews>
  <sheetFormatPr defaultColWidth="11.19921875" defaultRowHeight="15.6" x14ac:dyDescent="0.3"/>
  <cols>
    <col min="1" max="1" width="23.19921875" bestFit="1" customWidth="1"/>
    <col min="2" max="2" width="23.5" bestFit="1" customWidth="1"/>
    <col min="5" max="5" width="23.19921875" bestFit="1" customWidth="1"/>
  </cols>
  <sheetData>
    <row r="3" spans="1:6" x14ac:dyDescent="0.3">
      <c r="A3" s="6" t="s">
        <v>1565</v>
      </c>
      <c r="B3" t="s">
        <v>1567</v>
      </c>
      <c r="E3" t="s">
        <v>9</v>
      </c>
      <c r="F3" t="s">
        <v>0</v>
      </c>
    </row>
    <row r="4" spans="1:6" x14ac:dyDescent="0.3">
      <c r="A4" s="7" t="s">
        <v>83</v>
      </c>
      <c r="B4">
        <v>131</v>
      </c>
      <c r="E4" t="str">
        <f>A4</f>
        <v>Healthcare Representative</v>
      </c>
      <c r="F4">
        <f>GETPIVOTDATA("CF_attrition count",$A$3,"Job Role","Healthcare Representative")</f>
        <v>131</v>
      </c>
    </row>
    <row r="5" spans="1:6" x14ac:dyDescent="0.3">
      <c r="A5" s="7" t="s">
        <v>163</v>
      </c>
      <c r="B5">
        <v>52</v>
      </c>
      <c r="E5" t="str">
        <f t="shared" ref="E5:E12" si="0">A5</f>
        <v>Human Resources</v>
      </c>
      <c r="F5">
        <f>GETPIVOTDATA("CF_attrition count",$A$3,"Job Role","Human Resources")</f>
        <v>52</v>
      </c>
    </row>
    <row r="6" spans="1:6" x14ac:dyDescent="0.3">
      <c r="A6" s="7" t="s">
        <v>68</v>
      </c>
      <c r="B6">
        <v>259</v>
      </c>
      <c r="E6" t="str">
        <f t="shared" si="0"/>
        <v>Laboratory Technician</v>
      </c>
      <c r="F6">
        <f>GETPIVOTDATA("CF_attrition count",$A$3,"Job Role","Laboratory Technician")</f>
        <v>259</v>
      </c>
    </row>
    <row r="7" spans="1:6" x14ac:dyDescent="0.3">
      <c r="A7" s="7" t="s">
        <v>95</v>
      </c>
      <c r="B7">
        <v>102</v>
      </c>
      <c r="E7" t="str">
        <f t="shared" si="0"/>
        <v>Manager</v>
      </c>
      <c r="F7">
        <f>GETPIVOTDATA("CF_attrition count",$A$3,"Job Role","Manager")</f>
        <v>102</v>
      </c>
    </row>
    <row r="8" spans="1:6" x14ac:dyDescent="0.3">
      <c r="A8" s="7" t="s">
        <v>81</v>
      </c>
      <c r="B8">
        <v>145</v>
      </c>
      <c r="E8" t="str">
        <f t="shared" si="0"/>
        <v>Manufacturing Director</v>
      </c>
      <c r="F8">
        <f>GETPIVOTDATA("CF_attrition count",$A$3,"Job Role","Manufacturing Director")</f>
        <v>145</v>
      </c>
    </row>
    <row r="9" spans="1:6" x14ac:dyDescent="0.3">
      <c r="A9" s="7" t="s">
        <v>101</v>
      </c>
      <c r="B9">
        <v>80</v>
      </c>
      <c r="E9" t="str">
        <f t="shared" si="0"/>
        <v>Research Director</v>
      </c>
      <c r="F9">
        <f>GETPIVOTDATA("CF_attrition count",$A$3,"Job Role","Research Director")</f>
        <v>80</v>
      </c>
    </row>
    <row r="10" spans="1:6" x14ac:dyDescent="0.3">
      <c r="A10" s="7" t="s">
        <v>63</v>
      </c>
      <c r="B10">
        <v>292</v>
      </c>
      <c r="E10" t="str">
        <f t="shared" si="0"/>
        <v>Research Scientist</v>
      </c>
      <c r="F10">
        <f>GETPIVOTDATA("CF_attrition count",$A$3,"Job Role","Research Scientist")</f>
        <v>292</v>
      </c>
    </row>
    <row r="11" spans="1:6" x14ac:dyDescent="0.3">
      <c r="A11" s="7" t="s">
        <v>52</v>
      </c>
      <c r="B11">
        <v>326</v>
      </c>
      <c r="E11" t="str">
        <f t="shared" si="0"/>
        <v>Sales Executive</v>
      </c>
      <c r="F11">
        <f>GETPIVOTDATA("CF_attrition count",$A$3,"Job Role","Sales Executive")</f>
        <v>326</v>
      </c>
    </row>
    <row r="12" spans="1:6" x14ac:dyDescent="0.3">
      <c r="A12" s="7" t="s">
        <v>99</v>
      </c>
      <c r="B12">
        <v>83</v>
      </c>
      <c r="E12" t="str">
        <f t="shared" si="0"/>
        <v>Sales Representative</v>
      </c>
      <c r="F12">
        <f>GETPIVOTDATA("CF_attrition count",$A$3,"Job Role","Sales Representative")</f>
        <v>83</v>
      </c>
    </row>
    <row r="13" spans="1:6" x14ac:dyDescent="0.3">
      <c r="A13" s="7" t="s">
        <v>1566</v>
      </c>
      <c r="B13">
        <v>1470</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3CEE-CFED-E34D-BC8F-89FC3EB64D32}">
  <dimension ref="A3:F7"/>
  <sheetViews>
    <sheetView workbookViewId="0">
      <selection activeCell="A5" sqref="A5"/>
    </sheetView>
  </sheetViews>
  <sheetFormatPr defaultColWidth="11.19921875" defaultRowHeight="15.6" x14ac:dyDescent="0.3"/>
  <cols>
    <col min="1" max="1" width="13" bestFit="1" customWidth="1"/>
    <col min="2" max="2" width="22.5" bestFit="1" customWidth="1"/>
    <col min="4" max="4" width="11" bestFit="1" customWidth="1"/>
  </cols>
  <sheetData>
    <row r="3" spans="1:6" x14ac:dyDescent="0.3">
      <c r="A3" s="6" t="s">
        <v>1565</v>
      </c>
      <c r="B3" t="s">
        <v>1555</v>
      </c>
      <c r="D3" t="s">
        <v>4</v>
      </c>
      <c r="E3" t="s">
        <v>0</v>
      </c>
      <c r="F3" t="s">
        <v>1568</v>
      </c>
    </row>
    <row r="4" spans="1:6" x14ac:dyDescent="0.3">
      <c r="A4" s="7" t="s">
        <v>161</v>
      </c>
      <c r="B4">
        <v>12</v>
      </c>
      <c r="D4" t="str">
        <f>A4</f>
        <v>HR</v>
      </c>
      <c r="E4">
        <f>GETPIVOTDATA("CF_attrition count",$A$3,"Department",A4)</f>
        <v>12</v>
      </c>
      <c r="F4" s="3">
        <f>E4/GETPIVOTDATA("CF_attrition count",$A$3)</f>
        <v>5.0632911392405063E-2</v>
      </c>
    </row>
    <row r="5" spans="1:6" x14ac:dyDescent="0.3">
      <c r="A5" s="7" t="s">
        <v>60</v>
      </c>
      <c r="B5">
        <v>133</v>
      </c>
      <c r="D5" t="str">
        <f t="shared" ref="D5:D6" si="0">A5</f>
        <v>R&amp;D</v>
      </c>
      <c r="E5">
        <f t="shared" ref="E5:E6" si="1">GETPIVOTDATA("CF_attrition count",$A$3,"Department",A5)</f>
        <v>133</v>
      </c>
      <c r="F5" s="3">
        <f>E5/GETPIVOTDATA("CF_attrition count",$A$3)</f>
        <v>0.56118143459915615</v>
      </c>
    </row>
    <row r="6" spans="1:6" x14ac:dyDescent="0.3">
      <c r="A6" s="7" t="s">
        <v>48</v>
      </c>
      <c r="B6">
        <v>92</v>
      </c>
      <c r="D6" t="str">
        <f t="shared" si="0"/>
        <v>Sales</v>
      </c>
      <c r="E6">
        <f t="shared" si="1"/>
        <v>92</v>
      </c>
      <c r="F6" s="3">
        <f>E6/GETPIVOTDATA("CF_attrition count",$A$3)</f>
        <v>0.3881856540084388</v>
      </c>
    </row>
    <row r="7" spans="1:6" x14ac:dyDescent="0.3">
      <c r="A7" s="7" t="s">
        <v>1566</v>
      </c>
      <c r="B7">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dimension ref="A3:B9"/>
  <sheetViews>
    <sheetView workbookViewId="0">
      <selection activeCell="K18" sqref="K18"/>
    </sheetView>
  </sheetViews>
  <sheetFormatPr defaultColWidth="11.19921875" defaultRowHeight="15.6" x14ac:dyDescent="0.3"/>
  <cols>
    <col min="1" max="1" width="13" bestFit="1" customWidth="1"/>
    <col min="2" max="2" width="23.5" bestFit="1" customWidth="1"/>
    <col min="3" max="3" width="19.19921875" bestFit="1" customWidth="1"/>
  </cols>
  <sheetData>
    <row r="3" spans="1:2" x14ac:dyDescent="0.3">
      <c r="A3" s="6" t="s">
        <v>1565</v>
      </c>
      <c r="B3" t="s">
        <v>1567</v>
      </c>
    </row>
    <row r="4" spans="1:2" x14ac:dyDescent="0.3">
      <c r="A4" s="7" t="s">
        <v>69</v>
      </c>
      <c r="B4">
        <v>554</v>
      </c>
    </row>
    <row r="5" spans="1:2" x14ac:dyDescent="0.3">
      <c r="A5" s="7" t="s">
        <v>46</v>
      </c>
      <c r="B5">
        <v>505</v>
      </c>
    </row>
    <row r="6" spans="1:2" x14ac:dyDescent="0.3">
      <c r="A6" s="7" t="s">
        <v>58</v>
      </c>
      <c r="B6">
        <v>245</v>
      </c>
    </row>
    <row r="7" spans="1:2" x14ac:dyDescent="0.3">
      <c r="A7" s="7" t="s">
        <v>92</v>
      </c>
      <c r="B7">
        <v>97</v>
      </c>
    </row>
    <row r="8" spans="1:2" x14ac:dyDescent="0.3">
      <c r="A8" s="7" t="s">
        <v>75</v>
      </c>
      <c r="B8">
        <v>69</v>
      </c>
    </row>
    <row r="9" spans="1:2" x14ac:dyDescent="0.3">
      <c r="A9" s="7" t="s">
        <v>1566</v>
      </c>
      <c r="B9">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dimension ref="A3:E7"/>
  <sheetViews>
    <sheetView workbookViewId="0">
      <selection activeCell="N12" sqref="N12"/>
    </sheetView>
  </sheetViews>
  <sheetFormatPr defaultColWidth="11.19921875" defaultRowHeight="15.6" x14ac:dyDescent="0.3"/>
  <cols>
    <col min="1" max="1" width="13" bestFit="1" customWidth="1"/>
    <col min="2" max="2" width="23.5" bestFit="1" customWidth="1"/>
    <col min="4" max="4" width="12.796875" bestFit="1" customWidth="1"/>
  </cols>
  <sheetData>
    <row r="3" spans="1:5" x14ac:dyDescent="0.3">
      <c r="A3" s="6" t="s">
        <v>1565</v>
      </c>
      <c r="B3" t="s">
        <v>1567</v>
      </c>
      <c r="D3" t="s">
        <v>10</v>
      </c>
      <c r="E3" t="s">
        <v>0</v>
      </c>
    </row>
    <row r="4" spans="1:5" x14ac:dyDescent="0.3">
      <c r="A4" s="7" t="s">
        <v>79</v>
      </c>
      <c r="B4">
        <v>327</v>
      </c>
      <c r="D4" t="str">
        <f>A4</f>
        <v>Divorced</v>
      </c>
      <c r="E4">
        <f>GETPIVOTDATA("CF_attrition count",$A$3,"Marital Status",A4)</f>
        <v>327</v>
      </c>
    </row>
    <row r="5" spans="1:5" x14ac:dyDescent="0.3">
      <c r="A5" s="7" t="s">
        <v>53</v>
      </c>
      <c r="B5">
        <v>470</v>
      </c>
      <c r="D5" t="str">
        <f t="shared" ref="D5:D6" si="0">A5</f>
        <v>Single</v>
      </c>
      <c r="E5">
        <f t="shared" ref="E5:E6" si="1">GETPIVOTDATA("CF_attrition count",$A$3,"Marital Status",A5)</f>
        <v>470</v>
      </c>
    </row>
    <row r="6" spans="1:5" x14ac:dyDescent="0.3">
      <c r="A6" s="7" t="s">
        <v>64</v>
      </c>
      <c r="B6">
        <v>673</v>
      </c>
      <c r="D6" t="str">
        <f t="shared" si="0"/>
        <v>Married</v>
      </c>
      <c r="E6">
        <f t="shared" si="1"/>
        <v>673</v>
      </c>
    </row>
    <row r="7" spans="1:5" x14ac:dyDescent="0.3">
      <c r="A7" s="7" t="s">
        <v>1566</v>
      </c>
      <c r="B7">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dimension ref="A1:X50"/>
  <sheetViews>
    <sheetView showGridLines="0" zoomScaleNormal="100" workbookViewId="0">
      <selection activeCell="A29" sqref="A29"/>
    </sheetView>
  </sheetViews>
  <sheetFormatPr defaultColWidth="11.19921875" defaultRowHeight="15.6"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row r="35" spans="1:24" x14ac:dyDescent="0.3">
      <c r="A35" s="5"/>
      <c r="B35" s="5"/>
      <c r="C35" s="5"/>
      <c r="D35" s="5"/>
      <c r="E35" s="5"/>
      <c r="F35" s="5"/>
      <c r="G35" s="5"/>
      <c r="H35" s="5"/>
      <c r="I35" s="5"/>
      <c r="J35" s="5"/>
      <c r="K35" s="5"/>
      <c r="L35" s="5"/>
      <c r="M35" s="5"/>
      <c r="N35" s="5"/>
      <c r="O35" s="5"/>
      <c r="P35" s="5"/>
      <c r="Q35" s="5"/>
      <c r="R35" s="5"/>
      <c r="S35" s="5"/>
      <c r="T35" s="5"/>
      <c r="U35" s="5"/>
      <c r="V35" s="5"/>
      <c r="W35" s="5"/>
      <c r="X35" s="5"/>
    </row>
    <row r="36" spans="1:24" x14ac:dyDescent="0.3">
      <c r="A36" s="5"/>
      <c r="B36" s="5"/>
      <c r="C36" s="5"/>
      <c r="D36" s="5"/>
      <c r="E36" s="5"/>
      <c r="F36" s="5"/>
      <c r="G36" s="5"/>
      <c r="H36" s="5"/>
      <c r="I36" s="5"/>
      <c r="J36" s="5"/>
      <c r="K36" s="5"/>
      <c r="L36" s="5"/>
      <c r="M36" s="5"/>
      <c r="N36" s="5"/>
      <c r="O36" s="5"/>
      <c r="P36" s="5"/>
      <c r="Q36" s="5"/>
      <c r="R36" s="5"/>
      <c r="S36" s="5"/>
      <c r="T36" s="5"/>
      <c r="U36" s="5"/>
      <c r="V36" s="5"/>
      <c r="W36" s="5"/>
      <c r="X36" s="5"/>
    </row>
    <row r="37" spans="1:24" x14ac:dyDescent="0.3">
      <c r="A37" s="5"/>
      <c r="B37" s="5"/>
      <c r="C37" s="5"/>
      <c r="D37" s="5"/>
      <c r="E37" s="5"/>
      <c r="F37" s="5"/>
      <c r="G37" s="5"/>
      <c r="H37" s="5"/>
      <c r="I37" s="5"/>
      <c r="J37" s="5"/>
      <c r="K37" s="5"/>
      <c r="L37" s="5"/>
      <c r="M37" s="5"/>
      <c r="N37" s="5"/>
      <c r="O37" s="5"/>
      <c r="P37" s="5"/>
      <c r="Q37" s="5"/>
      <c r="R37" s="5"/>
      <c r="S37" s="5"/>
      <c r="T37" s="5"/>
      <c r="U37" s="5"/>
      <c r="V37" s="5"/>
      <c r="W37" s="5"/>
      <c r="X37" s="5"/>
    </row>
    <row r="38" spans="1:24" x14ac:dyDescent="0.3">
      <c r="A38" s="5"/>
      <c r="B38" s="5"/>
      <c r="C38" s="5"/>
      <c r="D38" s="5"/>
      <c r="E38" s="5"/>
      <c r="F38" s="5"/>
      <c r="G38" s="5"/>
      <c r="H38" s="5"/>
      <c r="I38" s="5"/>
      <c r="J38" s="5"/>
      <c r="K38" s="5"/>
      <c r="L38" s="5"/>
      <c r="M38" s="5"/>
      <c r="N38" s="5"/>
      <c r="O38" s="5"/>
      <c r="P38" s="5"/>
      <c r="Q38" s="5"/>
      <c r="R38" s="5"/>
      <c r="S38" s="5"/>
      <c r="T38" s="5"/>
      <c r="U38" s="5"/>
      <c r="V38" s="5"/>
      <c r="W38" s="5"/>
      <c r="X38" s="5"/>
    </row>
    <row r="39" spans="1:24" x14ac:dyDescent="0.3">
      <c r="A39" s="5"/>
      <c r="B39" s="5"/>
      <c r="C39" s="5"/>
      <c r="D39" s="5"/>
      <c r="E39" s="5"/>
      <c r="F39" s="5"/>
      <c r="G39" s="5"/>
      <c r="H39" s="5"/>
      <c r="I39" s="5"/>
      <c r="J39" s="5"/>
      <c r="K39" s="5"/>
      <c r="L39" s="5"/>
      <c r="M39" s="5"/>
      <c r="N39" s="5"/>
      <c r="O39" s="5"/>
      <c r="P39" s="5"/>
      <c r="Q39" s="5"/>
      <c r="R39" s="5"/>
      <c r="S39" s="5"/>
      <c r="T39" s="5"/>
      <c r="U39" s="5"/>
      <c r="V39" s="5"/>
      <c r="W39" s="5"/>
      <c r="X39" s="5"/>
    </row>
    <row r="40" spans="1:24" x14ac:dyDescent="0.3">
      <c r="A40" s="5"/>
      <c r="B40" s="5"/>
      <c r="C40" s="5"/>
      <c r="D40" s="5"/>
      <c r="E40" s="5"/>
      <c r="F40" s="5"/>
      <c r="G40" s="5"/>
      <c r="H40" s="5"/>
      <c r="I40" s="5"/>
      <c r="J40" s="5"/>
      <c r="K40" s="5"/>
      <c r="L40" s="5"/>
      <c r="M40" s="5"/>
      <c r="N40" s="5"/>
      <c r="O40" s="5"/>
      <c r="P40" s="5"/>
      <c r="Q40" s="5"/>
      <c r="R40" s="5"/>
      <c r="S40" s="5"/>
      <c r="T40" s="5"/>
      <c r="U40" s="5"/>
      <c r="V40" s="5"/>
      <c r="W40" s="5"/>
      <c r="X40" s="5"/>
    </row>
    <row r="41" spans="1:24" x14ac:dyDescent="0.3">
      <c r="A41" s="5"/>
      <c r="B41" s="5"/>
      <c r="C41" s="5"/>
      <c r="D41" s="5"/>
      <c r="E41" s="5"/>
      <c r="F41" s="5"/>
      <c r="G41" s="5"/>
      <c r="H41" s="5"/>
      <c r="I41" s="5"/>
      <c r="J41" s="5"/>
      <c r="K41" s="5"/>
      <c r="L41" s="5"/>
      <c r="M41" s="5"/>
      <c r="N41" s="5"/>
      <c r="O41" s="5"/>
      <c r="P41" s="5"/>
      <c r="Q41" s="5"/>
      <c r="R41" s="5"/>
      <c r="S41" s="5"/>
      <c r="T41" s="5"/>
      <c r="U41" s="5"/>
      <c r="V41" s="5"/>
      <c r="W41" s="5"/>
      <c r="X41" s="5"/>
    </row>
    <row r="42" spans="1:24" x14ac:dyDescent="0.3">
      <c r="A42" s="5"/>
      <c r="B42" s="5"/>
      <c r="C42" s="5"/>
      <c r="D42" s="5"/>
      <c r="E42" s="5"/>
      <c r="F42" s="5"/>
      <c r="G42" s="5"/>
      <c r="H42" s="5"/>
      <c r="I42" s="5"/>
      <c r="J42" s="5"/>
      <c r="K42" s="5"/>
      <c r="L42" s="5"/>
      <c r="M42" s="5"/>
      <c r="N42" s="5"/>
      <c r="O42" s="5"/>
      <c r="P42" s="5"/>
      <c r="Q42" s="5"/>
      <c r="R42" s="5"/>
      <c r="S42" s="5"/>
      <c r="T42" s="5"/>
      <c r="U42" s="5"/>
      <c r="V42" s="5"/>
      <c r="W42" s="5"/>
      <c r="X42" s="5"/>
    </row>
    <row r="43" spans="1:24" x14ac:dyDescent="0.3">
      <c r="A43" s="5"/>
      <c r="B43" s="5"/>
      <c r="C43" s="5"/>
      <c r="D43" s="5"/>
      <c r="E43" s="5"/>
      <c r="F43" s="5"/>
      <c r="G43" s="5"/>
      <c r="H43" s="5"/>
      <c r="I43" s="5"/>
      <c r="J43" s="5"/>
      <c r="K43" s="5"/>
      <c r="L43" s="5"/>
      <c r="M43" s="5"/>
      <c r="N43" s="5"/>
      <c r="O43" s="5"/>
      <c r="P43" s="5"/>
      <c r="Q43" s="5"/>
      <c r="R43" s="5"/>
      <c r="S43" s="5"/>
      <c r="T43" s="5"/>
      <c r="U43" s="5"/>
      <c r="V43" s="5"/>
      <c r="W43" s="5"/>
      <c r="X43" s="5"/>
    </row>
    <row r="44" spans="1:24" x14ac:dyDescent="0.3">
      <c r="A44" s="5"/>
      <c r="B44" s="5"/>
      <c r="C44" s="5"/>
      <c r="D44" s="5"/>
      <c r="E44" s="5"/>
      <c r="F44" s="5"/>
      <c r="G44" s="5"/>
      <c r="H44" s="5"/>
      <c r="I44" s="5"/>
      <c r="J44" s="5"/>
      <c r="K44" s="5"/>
      <c r="L44" s="5"/>
      <c r="M44" s="5"/>
      <c r="N44" s="5"/>
      <c r="O44" s="5"/>
      <c r="P44" s="5"/>
      <c r="Q44" s="5"/>
      <c r="R44" s="5"/>
      <c r="S44" s="5"/>
      <c r="T44" s="5"/>
      <c r="U44" s="5"/>
      <c r="V44" s="5"/>
      <c r="W44" s="5"/>
      <c r="X44" s="5"/>
    </row>
    <row r="45" spans="1:24" x14ac:dyDescent="0.3">
      <c r="A45" s="5"/>
      <c r="B45" s="5"/>
      <c r="C45" s="5"/>
      <c r="D45" s="5"/>
      <c r="E45" s="5"/>
      <c r="F45" s="5"/>
      <c r="G45" s="5"/>
      <c r="H45" s="5"/>
      <c r="I45" s="5"/>
      <c r="J45" s="5"/>
      <c r="K45" s="5"/>
      <c r="L45" s="5"/>
      <c r="M45" s="5"/>
      <c r="N45" s="5"/>
      <c r="O45" s="5"/>
      <c r="P45" s="5"/>
      <c r="Q45" s="5"/>
      <c r="R45" s="5"/>
      <c r="S45" s="5"/>
      <c r="T45" s="5"/>
      <c r="U45" s="5"/>
      <c r="V45" s="5"/>
      <c r="W45" s="5"/>
      <c r="X45" s="5"/>
    </row>
    <row r="46" spans="1:24" x14ac:dyDescent="0.3">
      <c r="A46" s="5"/>
      <c r="B46" s="5"/>
      <c r="C46" s="5"/>
      <c r="D46" s="5"/>
      <c r="E46" s="5"/>
      <c r="F46" s="5"/>
      <c r="G46" s="5"/>
      <c r="H46" s="5"/>
      <c r="I46" s="5"/>
      <c r="J46" s="5"/>
      <c r="K46" s="5"/>
      <c r="L46" s="5"/>
      <c r="M46" s="5"/>
      <c r="N46" s="5"/>
      <c r="O46" s="5"/>
      <c r="P46" s="5"/>
      <c r="Q46" s="5"/>
      <c r="R46" s="5"/>
      <c r="S46" s="5"/>
      <c r="T46" s="5"/>
      <c r="U46" s="5"/>
      <c r="V46" s="5"/>
      <c r="W46" s="5"/>
      <c r="X46" s="5"/>
    </row>
    <row r="47" spans="1:24" x14ac:dyDescent="0.3">
      <c r="A47" s="5"/>
      <c r="B47" s="5"/>
      <c r="C47" s="5"/>
      <c r="D47" s="5"/>
      <c r="E47" s="5"/>
      <c r="F47" s="5"/>
      <c r="G47" s="5"/>
      <c r="H47" s="5"/>
      <c r="I47" s="5"/>
      <c r="J47" s="5"/>
      <c r="K47" s="5"/>
      <c r="L47" s="5"/>
      <c r="M47" s="5"/>
      <c r="N47" s="5"/>
      <c r="O47" s="5"/>
      <c r="P47" s="5"/>
      <c r="Q47" s="5"/>
      <c r="R47" s="5"/>
      <c r="S47" s="5"/>
      <c r="T47" s="5"/>
      <c r="U47" s="5"/>
      <c r="V47" s="5"/>
      <c r="W47" s="5"/>
      <c r="X47" s="5"/>
    </row>
    <row r="48" spans="1:24" x14ac:dyDescent="0.3">
      <c r="A48" s="5"/>
      <c r="B48" s="5"/>
      <c r="C48" s="5"/>
      <c r="D48" s="5"/>
      <c r="E48" s="5"/>
      <c r="F48" s="5"/>
      <c r="G48" s="5"/>
      <c r="H48" s="5"/>
      <c r="I48" s="5"/>
      <c r="J48" s="5"/>
      <c r="K48" s="5"/>
      <c r="L48" s="5"/>
      <c r="M48" s="5"/>
      <c r="N48" s="5"/>
      <c r="O48" s="5"/>
      <c r="P48" s="5"/>
      <c r="Q48" s="5"/>
      <c r="R48" s="5"/>
      <c r="S48" s="5"/>
      <c r="T48" s="5"/>
      <c r="U48" s="5"/>
      <c r="V48" s="5"/>
      <c r="W48" s="5"/>
      <c r="X48" s="5"/>
    </row>
    <row r="49" spans="1:24" x14ac:dyDescent="0.3">
      <c r="A49" s="5"/>
      <c r="B49" s="5"/>
      <c r="C49" s="5"/>
      <c r="D49" s="5"/>
      <c r="E49" s="5"/>
      <c r="F49" s="5"/>
      <c r="G49" s="5"/>
      <c r="H49" s="5"/>
      <c r="I49" s="5"/>
      <c r="J49" s="5"/>
      <c r="K49" s="5"/>
      <c r="L49" s="5"/>
      <c r="M49" s="5"/>
      <c r="N49" s="5"/>
      <c r="O49" s="5"/>
      <c r="P49" s="5"/>
      <c r="Q49" s="5"/>
      <c r="R49" s="5"/>
      <c r="S49" s="5"/>
      <c r="T49" s="5"/>
      <c r="U49" s="5"/>
      <c r="V49" s="5"/>
      <c r="W49" s="5"/>
      <c r="X49" s="5"/>
    </row>
    <row r="50" spans="1:24" x14ac:dyDescent="0.3">
      <c r="A50" s="5"/>
      <c r="B50" s="5"/>
      <c r="C50" s="5"/>
      <c r="D50" s="5"/>
      <c r="E50" s="5"/>
      <c r="F50" s="5"/>
      <c r="G50" s="5"/>
      <c r="H50" s="5"/>
      <c r="I50" s="5"/>
      <c r="J50" s="5"/>
      <c r="K50" s="5"/>
      <c r="L50" s="5"/>
      <c r="M50" s="5"/>
      <c r="N50" s="5"/>
      <c r="O50" s="5"/>
      <c r="P50" s="5"/>
      <c r="Q50" s="5"/>
      <c r="R50" s="5"/>
      <c r="S50" s="5"/>
      <c r="T50" s="5"/>
      <c r="U50" s="5"/>
      <c r="V50" s="5"/>
      <c r="W50" s="5"/>
      <c r="X50"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B5C6D-3E45-49BB-88D8-70FB2A0B4779}">
  <dimension ref="A1"/>
  <sheetViews>
    <sheetView workbookViewId="0">
      <selection activeCell="K42" sqref="K42"/>
    </sheetView>
  </sheetViews>
  <sheetFormatPr defaultColWidth="8.796875" defaultRowHeight="15.6"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A48F9-B964-4BC3-9C58-BA74FD1D055B}">
  <dimension ref="A1"/>
  <sheetViews>
    <sheetView zoomScale="85" zoomScaleNormal="85" workbookViewId="0">
      <selection activeCell="W16" sqref="W16"/>
    </sheetView>
  </sheetViews>
  <sheetFormatPr defaultColWidth="8.796875" defaultRowHeight="15.6"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81B4-8441-4306-BEA4-4A860BA393B0}">
  <dimension ref="A1"/>
  <sheetViews>
    <sheetView zoomScale="85" zoomScaleNormal="85" workbookViewId="0">
      <selection activeCell="X8" sqref="X8"/>
    </sheetView>
  </sheetViews>
  <sheetFormatPr defaultColWidth="8.796875" defaultRowHeight="15.6"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EACB-EB4A-48A1-BF1F-4466B4F4CBD6}">
  <dimension ref="A1"/>
  <sheetViews>
    <sheetView zoomScale="85" zoomScaleNormal="85" workbookViewId="0">
      <selection activeCell="H44" sqref="H44"/>
    </sheetView>
  </sheetViews>
  <sheetFormatPr defaultColWidth="8.796875" defaultRowHeight="15.6"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D212-A267-4582-A5EF-A32E798FA347}">
  <dimension ref="A1"/>
  <sheetViews>
    <sheetView zoomScale="85" zoomScaleNormal="85" workbookViewId="0">
      <selection activeCell="B27" sqref="B27"/>
    </sheetView>
  </sheetViews>
  <sheetFormatPr defaultColWidth="8.796875" defaultRowHeight="15.6"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vt:lpstr>
      <vt:lpstr>KPI</vt:lpstr>
      <vt:lpstr>Rating</vt:lpstr>
      <vt:lpstr>Employee by Gender</vt:lpstr>
      <vt:lpstr>Education-wise Attrition</vt:lpstr>
      <vt:lpstr>Attrition By Job Role</vt:lpstr>
      <vt:lpstr>Department-wise Attrition</vt:lpstr>
      <vt:lpstr>Attrition By Age-Group</vt:lpstr>
      <vt:lpstr>Attrition By Marriage Status</vt:lpstr>
      <vt:lpstr>Dashboard</vt:lpstr>
      <vt:lpstr>Images</vt:lpstr>
      <vt:lpstr>Background 1</vt:lpstr>
      <vt:lpstr>Background 2</vt:lpstr>
      <vt:lpstr>Background 3</vt:lpstr>
      <vt:lpstr>Background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Anupam Naskar</cp:lastModifiedBy>
  <dcterms:created xsi:type="dcterms:W3CDTF">2022-12-29T16:02:46Z</dcterms:created>
  <dcterms:modified xsi:type="dcterms:W3CDTF">2026-03-08T12:58:54Z</dcterms:modified>
</cp:coreProperties>
</file>